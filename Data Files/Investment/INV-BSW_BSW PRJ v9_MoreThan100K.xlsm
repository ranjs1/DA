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njs1\git\DAUIAutomation\Data Files\BSW\Investment\"/>
    </mc:Choice>
  </mc:AlternateContent>
  <xr:revisionPtr revIDLastSave="0" documentId="13_ncr:1_{A3816612-3BF2-44C0-A541-9E3DDA58C3CE}" xr6:coauthVersionLast="33" xr6:coauthVersionMax="33" xr10:uidLastSave="{00000000-0000-0000-0000-000000000000}"/>
  <bookViews>
    <workbookView xWindow="0" yWindow="0" windowWidth="28800" windowHeight="12210" tabRatio="881" activeTab="8" xr2:uid="{00000000-000D-0000-FFFF-FFFF00000000}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79017"/>
</workbook>
</file>

<file path=xl/calcChain.xml><?xml version="1.0" encoding="utf-8"?>
<calcChain xmlns="http://schemas.openxmlformats.org/spreadsheetml/2006/main">
  <c r="B30" i="14" l="1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P22" i="38" l="1"/>
  <c r="P30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22" i="38"/>
  <c r="H30" i="38"/>
  <c r="I17" i="39"/>
  <c r="I17" i="38" s="1"/>
  <c r="I18" i="39"/>
  <c r="I18" i="38" s="1"/>
  <c r="I19" i="39"/>
  <c r="I19" i="38" s="1"/>
  <c r="I20" i="39"/>
  <c r="I20" i="38" s="1"/>
  <c r="I21" i="39"/>
  <c r="I21" i="38" s="1"/>
  <c r="I22" i="39"/>
  <c r="I22" i="38" s="1"/>
  <c r="I23" i="39"/>
  <c r="I23" i="38" s="1"/>
  <c r="I24" i="39"/>
  <c r="I24" i="38" s="1"/>
  <c r="I25" i="39"/>
  <c r="I25" i="38" s="1"/>
  <c r="I26" i="39"/>
  <c r="I26" i="38" s="1"/>
  <c r="I27" i="39"/>
  <c r="I27" i="38" s="1"/>
  <c r="I28" i="39"/>
  <c r="I28" i="38" s="1"/>
  <c r="I29" i="39"/>
  <c r="I29" i="38" s="1"/>
  <c r="I30" i="39"/>
  <c r="I30" i="38" s="1"/>
  <c r="H16" i="39"/>
  <c r="H16" i="38" s="1"/>
  <c r="H17" i="39"/>
  <c r="H17" i="38" s="1"/>
  <c r="H18" i="39"/>
  <c r="H18" i="38" s="1"/>
  <c r="H19" i="39"/>
  <c r="H19" i="38" s="1"/>
  <c r="H20" i="39"/>
  <c r="H20" i="38" s="1"/>
  <c r="H21" i="39"/>
  <c r="H21" i="38" s="1"/>
  <c r="H22" i="39"/>
  <c r="H23" i="39"/>
  <c r="H23" i="38" s="1"/>
  <c r="H24" i="39"/>
  <c r="H24" i="38" s="1"/>
  <c r="H25" i="39"/>
  <c r="H25" i="38" s="1"/>
  <c r="H26" i="39"/>
  <c r="H26" i="38" s="1"/>
  <c r="H27" i="39"/>
  <c r="H27" i="38" s="1"/>
  <c r="H28" i="39"/>
  <c r="H28" i="38" s="1"/>
  <c r="H29" i="39"/>
  <c r="H29" i="38" s="1"/>
  <c r="H30" i="39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7" i="38" s="1"/>
  <c r="P18" i="39"/>
  <c r="P18" i="38" s="1"/>
  <c r="P19" i="39"/>
  <c r="P19" i="38" s="1"/>
  <c r="P20" i="39"/>
  <c r="P20" i="38" s="1"/>
  <c r="P21" i="39"/>
  <c r="P21" i="38" s="1"/>
  <c r="P22" i="39"/>
  <c r="P23" i="39"/>
  <c r="P23" i="38" s="1"/>
  <c r="P24" i="39"/>
  <c r="P24" i="38" s="1"/>
  <c r="P25" i="39"/>
  <c r="P25" i="38" s="1"/>
  <c r="P26" i="39"/>
  <c r="P26" i="38" s="1"/>
  <c r="P27" i="39"/>
  <c r="P27" i="38" s="1"/>
  <c r="P28" i="39"/>
  <c r="P28" i="38" s="1"/>
  <c r="P29" i="39"/>
  <c r="P29" i="38" s="1"/>
  <c r="P30" i="39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T15" i="34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P16" i="39" l="1"/>
  <c r="P16" i="38" s="1"/>
  <c r="I16" i="39"/>
  <c r="I16" i="38" s="1"/>
  <c r="V23" i="34"/>
  <c r="V22" i="34"/>
  <c r="V21" i="34"/>
  <c r="V20" i="34"/>
  <c r="V19" i="34"/>
  <c r="V18" i="34"/>
  <c r="V17" i="34"/>
  <c r="V15" i="34"/>
  <c r="Q46" i="34" l="1"/>
  <c r="P46" i="34"/>
  <c r="N46" i="34"/>
  <c r="M46" i="34"/>
  <c r="K46" i="34"/>
  <c r="H46" i="34"/>
  <c r="I46" i="34" s="1"/>
  <c r="G30" i="14" l="1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A17" i="40"/>
  <c r="T17" i="40" s="1"/>
  <c r="V17" i="40" s="1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T23" i="40" s="1"/>
  <c r="V23" i="40" s="1"/>
  <c r="A24" i="40"/>
  <c r="A25" i="40"/>
  <c r="A26" i="40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T26" i="40"/>
  <c r="V26" i="40" s="1"/>
  <c r="T25" i="40"/>
  <c r="V25" i="40" s="1"/>
  <c r="T24" i="40"/>
  <c r="V24" i="40" s="1"/>
  <c r="D16" i="14"/>
  <c r="H46" i="40"/>
  <c r="H56" i="40" l="1"/>
  <c r="T29" i="40"/>
  <c r="V29" i="40" s="1"/>
  <c r="I56" i="40"/>
  <c r="T31" i="40"/>
  <c r="V31" i="40" s="1"/>
  <c r="T30" i="40"/>
  <c r="V30" i="40" s="1"/>
  <c r="T14" i="40"/>
  <c r="T32" i="40" s="1"/>
  <c r="E6" i="40"/>
  <c r="V14" i="40" l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34"/>
  <c r="H15" i="40" s="1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V16" i="34" s="1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I15" i="34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I16" i="40"/>
  <c r="V16" i="40" s="1"/>
  <c r="V32" i="40" s="1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34"/>
  <c r="P15" i="40" s="1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N18" i="34"/>
  <c r="N18" i="40" s="1"/>
  <c r="Q18" i="34"/>
  <c r="O23" i="33"/>
  <c r="R18" i="34" l="1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L42" i="38"/>
  <c r="J42" i="38"/>
  <c r="F42" i="38"/>
  <c r="E42" i="38"/>
  <c r="B42" i="38"/>
  <c r="A42" i="38"/>
  <c r="O41" i="38"/>
  <c r="L41" i="38"/>
  <c r="J41" i="38"/>
  <c r="F41" i="38"/>
  <c r="E41" i="38"/>
  <c r="B41" i="38"/>
  <c r="A41" i="38"/>
  <c r="O40" i="38"/>
  <c r="L40" i="38"/>
  <c r="J40" i="38"/>
  <c r="F40" i="38"/>
  <c r="E40" i="38"/>
  <c r="B40" i="38"/>
  <c r="A40" i="38"/>
  <c r="O39" i="38"/>
  <c r="L39" i="38"/>
  <c r="J39" i="38"/>
  <c r="F39" i="38"/>
  <c r="E39" i="38"/>
  <c r="B39" i="38"/>
  <c r="A39" i="38"/>
  <c r="O38" i="38"/>
  <c r="L38" i="38"/>
  <c r="J38" i="38"/>
  <c r="F38" i="38"/>
  <c r="E38" i="38"/>
  <c r="B38" i="38"/>
  <c r="A38" i="38"/>
  <c r="O37" i="38"/>
  <c r="L37" i="38"/>
  <c r="J37" i="38"/>
  <c r="F37" i="38"/>
  <c r="E37" i="38"/>
  <c r="B37" i="38"/>
  <c r="A37" i="38"/>
  <c r="O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H56" i="39" s="1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M42" i="38" s="1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M41" i="38" s="1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M40" i="38" s="1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M39" i="38" s="1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M38" i="38" s="1"/>
  <c r="K38" i="39"/>
  <c r="K38" i="38" s="1"/>
  <c r="I38" i="39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M37" i="38" s="1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N36" i="39"/>
  <c r="N36" i="38" s="1"/>
  <c r="M36" i="39"/>
  <c r="M36" i="38" s="1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P31" i="38" s="1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A64" i="39"/>
  <c r="E8" i="39"/>
  <c r="E7" i="39"/>
  <c r="B6" i="39"/>
  <c r="M47" i="39"/>
  <c r="B3" i="38"/>
  <c r="B1" i="39"/>
  <c r="B1" i="38" s="1"/>
  <c r="L16" i="39" l="1"/>
  <c r="J16" i="39"/>
  <c r="P43" i="39"/>
  <c r="R43" i="39" s="1"/>
  <c r="I43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J16" i="38" l="1"/>
  <c r="K16" i="39"/>
  <c r="L16" i="38"/>
  <c r="M16" i="39"/>
  <c r="M15" i="39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N16" i="39" l="1"/>
  <c r="N16" i="38" s="1"/>
  <c r="S16" i="39"/>
  <c r="S16" i="38" s="1"/>
  <c r="K16" i="38"/>
  <c r="M16" i="38"/>
  <c r="Q16" i="39"/>
  <c r="S15" i="39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Q16" i="38" l="1"/>
  <c r="R16" i="39"/>
  <c r="R16" i="38" s="1"/>
  <c r="S32" i="39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H56" i="38" l="1"/>
  <c r="P43" i="38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l="1"/>
  <c r="B11" i="38" s="1"/>
  <c r="B10" i="40"/>
  <c r="AK37" i="32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E6" i="34"/>
  <c r="B5" i="34"/>
  <c r="B2" i="34"/>
  <c r="B2" i="40" s="1"/>
  <c r="B1" i="34"/>
  <c r="B1" i="40" s="1"/>
  <c r="B10" i="34"/>
  <c r="N43" i="40" l="1"/>
  <c r="L16" i="34"/>
  <c r="J15" i="34"/>
  <c r="J16" i="34"/>
  <c r="L15" i="34"/>
  <c r="Q43" i="40"/>
  <c r="H56" i="34"/>
  <c r="M43" i="34"/>
  <c r="M38" i="40"/>
  <c r="M43" i="40" s="1"/>
  <c r="I43" i="34"/>
  <c r="I39" i="40"/>
  <c r="I43" i="40" s="1"/>
  <c r="L14" i="34"/>
  <c r="L14" i="40" s="1"/>
  <c r="B5" i="40"/>
  <c r="P43" i="34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J15" i="40" l="1"/>
  <c r="K15" i="34"/>
  <c r="J16" i="40"/>
  <c r="K16" i="34"/>
  <c r="M16" i="34"/>
  <c r="L16" i="40"/>
  <c r="L15" i="40"/>
  <c r="M15" i="34"/>
  <c r="M14" i="34"/>
  <c r="M14" i="40" s="1"/>
  <c r="S43" i="34"/>
  <c r="S45" i="40" s="1"/>
  <c r="R43" i="34"/>
  <c r="R45" i="40" s="1"/>
  <c r="H45" i="34"/>
  <c r="I45" i="34" s="1"/>
  <c r="I45" i="40" s="1"/>
  <c r="H47" i="34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K14" i="34"/>
  <c r="I32" i="34"/>
  <c r="R46" i="34"/>
  <c r="R48" i="40" s="1"/>
  <c r="S46" i="34"/>
  <c r="S48" i="40" s="1"/>
  <c r="P32" i="34"/>
  <c r="P45" i="34" s="1"/>
  <c r="K16" i="40" l="1"/>
  <c r="S16" i="34"/>
  <c r="S16" i="40" s="1"/>
  <c r="N16" i="34"/>
  <c r="N16" i="40" s="1"/>
  <c r="M15" i="40"/>
  <c r="Q15" i="34"/>
  <c r="K15" i="40"/>
  <c r="N15" i="34"/>
  <c r="N15" i="40" s="1"/>
  <c r="S15" i="34"/>
  <c r="S15" i="40" s="1"/>
  <c r="M32" i="34"/>
  <c r="M47" i="34" s="1"/>
  <c r="H47" i="40"/>
  <c r="I47" i="34"/>
  <c r="M16" i="40"/>
  <c r="Q16" i="34"/>
  <c r="Q14" i="34"/>
  <c r="Q14" i="40" s="1"/>
  <c r="M45" i="34"/>
  <c r="M45" i="40" s="1"/>
  <c r="P47" i="34"/>
  <c r="P47" i="40" s="1"/>
  <c r="H45" i="40"/>
  <c r="S14" i="34"/>
  <c r="S14" i="40" s="1"/>
  <c r="K14" i="40"/>
  <c r="K32" i="40" s="1"/>
  <c r="S32" i="40" s="1"/>
  <c r="M47" i="40"/>
  <c r="P45" i="40"/>
  <c r="C24" i="14"/>
  <c r="H48" i="34"/>
  <c r="I48" i="34" s="1"/>
  <c r="K32" i="34"/>
  <c r="N14" i="34"/>
  <c r="N14" i="40" s="1"/>
  <c r="G26" i="33"/>
  <c r="H26" i="33" s="1"/>
  <c r="R26" i="33" s="1"/>
  <c r="M32" i="40" l="1"/>
  <c r="N32" i="40"/>
  <c r="R16" i="34"/>
  <c r="R16" i="40" s="1"/>
  <c r="Q16" i="40"/>
  <c r="R15" i="34"/>
  <c r="R15" i="40" s="1"/>
  <c r="Q15" i="40"/>
  <c r="R14" i="34"/>
  <c r="R14" i="40" s="1"/>
  <c r="Q32" i="34"/>
  <c r="Q45" i="34" s="1"/>
  <c r="Q45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32" i="40" l="1"/>
  <c r="R32" i="40" s="1"/>
  <c r="H72" i="33"/>
  <c r="R32" i="34"/>
  <c r="Q47" i="34"/>
  <c r="Q47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M62" i="33"/>
  <c r="O62" i="33"/>
  <c r="O74" i="33"/>
  <c r="J62" i="33"/>
  <c r="G62" i="33"/>
  <c r="L62" i="33"/>
  <c r="A79" i="33"/>
  <c r="P62" i="33"/>
  <c r="G63" i="33" l="1"/>
  <c r="H63" i="33" s="1"/>
  <c r="Q48" i="34"/>
  <c r="Q48" i="40" s="1"/>
  <c r="Q59" i="40" s="1"/>
  <c r="Q64" i="40" s="1"/>
  <c r="I63" i="40"/>
  <c r="P64" i="34"/>
  <c r="P61" i="34"/>
  <c r="B16" i="14" s="1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R48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P21" i="33"/>
  <c r="Q21" i="33" s="1"/>
  <c r="H48" i="33"/>
  <c r="Q14" i="33"/>
  <c r="L48" i="33"/>
  <c r="G61" i="33"/>
  <c r="G64" i="33" s="1"/>
  <c r="G75" i="33" s="1"/>
  <c r="Q62" i="33"/>
  <c r="Q63" i="33"/>
  <c r="H62" i="33"/>
  <c r="O61" i="33" l="1"/>
  <c r="O63" i="33"/>
  <c r="Q63" i="40"/>
  <c r="R63" i="40" s="1"/>
  <c r="Q59" i="34"/>
  <c r="Q63" i="34" s="1"/>
  <c r="R63" i="34" s="1"/>
  <c r="S61" i="34"/>
  <c r="H5" i="34"/>
  <c r="S59" i="34"/>
  <c r="S61" i="40" s="1"/>
  <c r="G24" i="14"/>
  <c r="K63" i="34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M20" i="33"/>
  <c r="M14" i="33"/>
  <c r="P48" i="33"/>
  <c r="Q48" i="33" s="1"/>
  <c r="M16" i="33"/>
  <c r="J48" i="33"/>
  <c r="M18" i="33"/>
  <c r="O64" i="33"/>
  <c r="H61" i="33"/>
  <c r="H64" i="33" s="1"/>
  <c r="H75" i="33" s="1"/>
  <c r="Q61" i="33"/>
  <c r="G79" i="33"/>
  <c r="G80" i="33"/>
  <c r="B10" i="33"/>
  <c r="R59" i="34" l="1"/>
  <c r="R61" i="40" s="1"/>
  <c r="Q64" i="34"/>
  <c r="R64" i="34" s="1"/>
  <c r="N64" i="34"/>
  <c r="N64" i="40"/>
  <c r="N63" i="40"/>
  <c r="L64" i="33"/>
  <c r="O75" i="33"/>
  <c r="O80" i="33" s="1"/>
  <c r="P61" i="33"/>
  <c r="P63" i="33"/>
  <c r="J61" i="33"/>
  <c r="J63" i="33"/>
  <c r="M48" i="33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 s="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 s="1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1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2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5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3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 xr:uid="{00000000-0006-0000-06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8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<sst xmlns="http://schemas.openxmlformats.org/spreadsheetml/2006/main" count="944" uniqueCount="273">
  <si>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</si>
  <si>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</si>
  <si>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</si>
  <si>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</si>
  <si>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</si>
  <si>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</si>
  <si>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</si>
  <si>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</si>
  <si>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</si>
  <si>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</si>
  <si>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</si>
  <si>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</si>
  <si>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</si>
  <si>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</si>
  <si>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</si>
  <si>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</si>
  <si>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</si>
  <si>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</si>
  <si>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</si>
  <si>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</si>
  <si>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</si>
  <si>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</si>
  <si>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</si>
  <si>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</si>
  <si>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</si>
  <si>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</si>
  <si>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</si>
  <si>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</si>
  <si>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</si>
  <si>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</si>
  <si>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</si>
  <si>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</si>
  <si>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</si>
  <si>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</si>
  <si>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</si>
  <si>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</si>
  <si>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</si>
  <si>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</si>
  <si>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</si>
  <si>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</si>
  <si>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</si>
  <si>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</si>
  <si>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</si>
  <si>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</si>
  <si>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</si>
  <si>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</si>
  <si>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</si>
  <si>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</si>
  <si>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</si>
  <si>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</si>
  <si>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</si>
  <si>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</si>
  <si>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</si>
  <si>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</si>
  <si>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</si>
  <si>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</si>
  <si>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</si>
  <si>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</si>
  <si>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</si>
  <si>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</si>
  <si>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</si>
  <si>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</si>
  <si>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</si>
  <si>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</si>
  <si>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</si>
  <si>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</si>
  <si>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</si>
  <si>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</si>
  <si>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</si>
  <si>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</si>
  <si>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</si>
  <si>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</si>
  <si>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</si>
  <si>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</si>
  <si>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</si>
  <si>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</si>
  <si>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</si>
  <si>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</si>
  <si>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</si>
  <si>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</si>
  <si>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</si>
  <si>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</si>
  <si>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</si>
  <si>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</si>
  <si>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</si>
  <si>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</si>
  <si>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</si>
  <si>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</si>
  <si>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</si>
  <si>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</si>
  <si>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</si>
  <si>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</si>
  <si>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</si>
  <si>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</si>
  <si>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</si>
  <si>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</si>
  <si>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</si>
  <si>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</si>
  <si>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</si>
  <si>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</si>
  <si>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</si>
  <si>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</si>
  <si>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</si>
  <si>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</si>
  <si>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</si>
  <si>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</si>
  <si>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</si>
  <si>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</si>
  <si>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</si>
  <si>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</si>
  <si>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</si>
  <si>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</si>
  <si>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</si>
  <si>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</si>
  <si>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</si>
  <si>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</si>
  <si>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</si>
  <si>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</si>
  <si>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</si>
  <si>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</si>
  <si>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</si>
  <si>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</si>
  <si>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</si>
  <si>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</si>
  <si>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</si>
  <si>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</si>
  <si>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</si>
  <si>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</si>
  <si>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</si>
  <si>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</si>
  <si>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</si>
  <si>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</si>
  <si>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</si>
  <si>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</si>
  <si>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</si>
  <si>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</si>
  <si>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</si>
  <si>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</si>
  <si>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</si>
  <si>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</si>
  <si>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</si>
  <si>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</si>
  <si>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</si>
  <si>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</si>
  <si>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</si>
  <si>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</si>
  <si>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</si>
  <si>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</si>
  <si>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</si>
  <si>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</si>
  <si>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</si>
  <si>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</si>
  <si>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</si>
  <si>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</si>
  <si>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</si>
  <si>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</si>
  <si>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</si>
  <si>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</si>
  <si>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</si>
  <si>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</si>
  <si>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</si>
  <si>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</si>
  <si>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</si>
  <si>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</si>
  <si>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</si>
  <si>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</si>
  <si>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</si>
  <si>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</si>
  <si>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</si>
  <si>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</si>
  <si>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</si>
  <si>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</si>
  <si>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</si>
  <si>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</si>
  <si>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</si>
  <si>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</si>
  <si>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</si>
  <si>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</si>
  <si>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</si>
  <si>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</si>
  <si>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</si>
  <si>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</si>
  <si>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</si>
  <si>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</si>
  <si>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</si>
  <si>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</si>
  <si>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</si>
  <si>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</si>
  <si>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</si>
  <si>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</si>
  <si>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</si>
  <si>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</si>
  <si>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</si>
  <si>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</si>
  <si>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</si>
  <si>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</si>
  <si>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</si>
  <si>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</si>
  <si>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</si>
  <si>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</si>
  <si>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</si>
  <si>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</si>
  <si>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</si>
  <si>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</si>
  <si>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&lt;Enter Account Name&gt;</t>
  </si>
  <si>
    <t>&lt;Enter Organization Name&gt;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</si>
  <si>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</si>
  <si>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</si>
  <si>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</si>
  <si>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</si>
  <si>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</si>
  <si>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</si>
  <si>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</si>
  <si>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</si>
  <si>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</si>
  <si>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</si>
  <si>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</si>
  <si>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</si>
  <si>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</si>
  <si>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</si>
  <si>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</si>
  <si>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</si>
  <si>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</si>
  <si>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</si>
  <si>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</si>
  <si>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</si>
  <si>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</si>
  <si>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</si>
  <si>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</si>
  <si>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</si>
  <si>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</si>
  <si>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</si>
  <si>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</si>
  <si>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</si>
  <si>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</si>
  <si>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</si>
  <si>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</si>
  <si>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</si>
  <si>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</si>
  <si>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</si>
  <si>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</si>
  <si>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</si>
  <si>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</si>
  <si>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</si>
  <si>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</si>
  <si>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</si>
  <si>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</si>
  <si>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</si>
  <si>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</si>
  <si>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</si>
  <si>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</si>
  <si>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</si>
  <si>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</si>
  <si>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</si>
  <si>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</si>
  <si>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</si>
  <si>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</si>
  <si>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</si>
  <si>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</si>
  <si>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</si>
  <si>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</si>
  <si>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</si>
  <si>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</si>
  <si>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</si>
  <si>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</si>
  <si>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BSW v9</t>
  </si>
  <si>
    <t>PEGA</t>
  </si>
  <si>
    <t>AGILE</t>
  </si>
  <si>
    <t>Quote</t>
  </si>
  <si>
    <t>Full Implementation</t>
  </si>
  <si>
    <t>ProfitCenter</t>
  </si>
  <si>
    <t>3-17-InvEng1</t>
  </si>
  <si>
    <t>Select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</si>
</sst>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 xr:uid="{00000000-0005-0000-0000-000002000000}"/>
    <cellStyle name="Header2" xfId="4" xr:uid="{00000000-0005-0000-0000-000003000000}"/>
    <cellStyle name="Normal" xfId="0" builtinId="0"/>
    <cellStyle name="Normal_BSW GHC CSS 16DEC05" xfId="5" xr:uid="{00000000-0005-0000-0000-000005000000}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ER42"/>
  <sheetViews>
    <sheetView workbookViewId="0">
      <selection activeCell="B7" sqref="B7"/>
    </sheetView>
  </sheetViews>
  <sheetFormatPr defaultColWidth="9.33203125" defaultRowHeight="12.75" x14ac:dyDescent="0.2"/>
  <cols>
    <col min="1" max="1" width="27.1640625" style="2" bestFit="1" customWidth="1"/>
    <col min="2" max="2" width="21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204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205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270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18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43608</v>
      </c>
      <c r="W7" s="42"/>
    </row>
    <row r="8" spans="1:23" x14ac:dyDescent="0.2">
      <c r="A8" s="2" t="s">
        <v>5</v>
      </c>
      <c r="B8" s="84">
        <f>MAX(BID!B7)</f>
        <v>43678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268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266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269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267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/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254</v>
      </c>
      <c r="B15" s="375" t="s">
        <v>263</v>
      </c>
      <c r="C15" s="4"/>
      <c r="D15" s="3" t="s">
        <v>262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260712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153351.9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107360.1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0.41179577464788736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>Below 50% Margin</v>
      </c>
    </row>
    <row r="21" spans="1:23" ht="13.5" thickBot="1" x14ac:dyDescent="0.25">
      <c r="A21" s="368">
        <f>BID!V32</f>
        <v>326.40000000000003</v>
      </c>
      <c r="B21" s="369" t="str">
        <f>IF(B6="NA",IF(A21&gt;0,"YES"))</f>
        <v>YES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261</v>
      </c>
      <c r="B24" s="78">
        <f>BID!I59</f>
        <v>1101.5999999999999</v>
      </c>
      <c r="C24" s="79">
        <f>BID!P32+BID!P43</f>
        <v>231744</v>
      </c>
      <c r="D24" s="79">
        <f>BID!P47+BID!P46</f>
        <v>0</v>
      </c>
      <c r="E24" s="79">
        <f>BID!P45</f>
        <v>28968</v>
      </c>
      <c r="F24" s="79"/>
      <c r="G24" s="112">
        <f>BID!P61</f>
        <v>260712</v>
      </c>
      <c r="H24" s="79">
        <f>BID!K59</f>
        <v>377986.5</v>
      </c>
      <c r="I24" s="79">
        <f>BID!M59</f>
        <v>153351.9</v>
      </c>
      <c r="J24" s="79">
        <f>G24-I24</f>
        <v>107360.1</v>
      </c>
      <c r="K24" s="151">
        <f>IF(G24&gt;0,J24/G24,0)</f>
        <v>0.41179577464788736</v>
      </c>
      <c r="L24" s="195">
        <f>IF(B24&gt;0,G24/B24,0)</f>
        <v>236.66666666666669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1101.5999999999999</v>
      </c>
      <c r="C27" s="80">
        <f>SUM(C24:C26)</f>
        <v>231744</v>
      </c>
      <c r="D27" s="80">
        <f>SUM(D24:D26)</f>
        <v>0</v>
      </c>
      <c r="E27" s="80">
        <f>SUM(E24:E26)</f>
        <v>28968</v>
      </c>
      <c r="F27" s="80"/>
      <c r="G27" s="114">
        <f>SUM(G24:G26)</f>
        <v>260712</v>
      </c>
      <c r="H27" s="80">
        <f>SUM(H24:H26)</f>
        <v>377986.5</v>
      </c>
      <c r="I27" s="80">
        <f>SUM(I24:I26)</f>
        <v>153351.9</v>
      </c>
      <c r="J27" s="81">
        <f>G27-I27</f>
        <v>107360.1</v>
      </c>
      <c r="K27" s="154">
        <f>IF(G27&gt;0,J27/G27,0)</f>
        <v>0.41179577464788736</v>
      </c>
      <c r="L27" s="196">
        <f>IF(B27&gt;0,G27/B27,0)</f>
        <v>236.66666666666669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252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 xr:uid="{00000000-0002-0000-0000-000000000000}">
      <formula1>"Quote, Estimate, SELECT ONE"</formula1>
    </dataValidation>
    <dataValidation type="list" showInputMessage="1" showErrorMessage="1" sqref="B5" xr:uid="{00000000-0002-0000-0000-000001000000}">
      <formula1>"T&amp;M, Fixed Price, SELECT ONE"</formula1>
    </dataValidation>
    <dataValidation type="list" showInputMessage="1" showErrorMessage="1" sqref="B10" xr:uid="{00000000-0002-0000-0000-000002000000}">
      <formula1>"Y,N,SELECT ONE"</formula1>
    </dataValidation>
    <dataValidation type="list" showInputMessage="1" showErrorMessage="1" sqref="B11" xr:uid="{00000000-0002-0000-0000-000003000000}">
      <formula1>"SELECT ONE, CUSTOMER, PEGA, PARTNER, PLPP"</formula1>
    </dataValidation>
    <dataValidation showInputMessage="1" showErrorMessage="1" sqref="B14" xr:uid="{00000000-0002-0000-0000-000004000000}"/>
    <dataValidation type="list" showInputMessage="1" showErrorMessage="1" sqref="B13" xr:uid="{00000000-0002-0000-0000-000005000000}">
      <formula1>"SELECT ONE,AGILE, SCRUM, WATERFALL, OTHER, Not Applicable"</formula1>
    </dataValidation>
    <dataValidation type="list" showInputMessage="1" showErrorMessage="1" sqref="B12" xr:uid="{00000000-0002-0000-0000-000006000000}">
      <formula1>"SELECT ONE,Full Implementation, Staff Augmentation, Service Product"</formula1>
    </dataValidation>
    <dataValidation type="list" showInputMessage="1" showErrorMessage="1" sqref="B15" xr:uid="{00000000-0002-0000-0000-000007000000}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8000000}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ColWidth="9.33203125"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&lt;Enter Account Name&gt;</v>
      </c>
    </row>
    <row r="2" spans="1:148" x14ac:dyDescent="0.2">
      <c r="A2" s="264" t="s">
        <v>207</v>
      </c>
      <c r="B2" s="98" t="str">
        <f>INVESTMENT!B2</f>
        <v>&lt;Enter Organization Name&gt;</v>
      </c>
    </row>
    <row r="3" spans="1:148" x14ac:dyDescent="0.2">
      <c r="A3" s="264" t="s">
        <v>157</v>
      </c>
      <c r="B3" s="98" t="str">
        <f>INVESTMENT!B3</f>
        <v>3-17-InvEng1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43607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43679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Select One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264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/>
      </c>
      <c r="C15" s="303"/>
      <c r="D15" s="303">
        <f>IF(INVESTMENT!D15="","",INVESTMENT!D15)</f>
        <v>2</v>
      </c>
      <c r="E15" s="304">
        <f>IF(INVESTMENT!E15="","",INVESTMENT!E15)</f>
        <v>43607</v>
      </c>
      <c r="F15" s="304">
        <f>IF(INVESTMENT!F15="","",INVESTMENT!F15)</f>
        <v>43678</v>
      </c>
      <c r="G15" s="451">
        <f>IF(INVESTMENT!G15="","",INVESTMENT!G15)</f>
        <v>1</v>
      </c>
      <c r="H15" s="305">
        <f>INVESTMENT!H15</f>
        <v>52</v>
      </c>
      <c r="I15" s="306">
        <f>INVESTMENT!I15</f>
        <v>416</v>
      </c>
      <c r="J15" s="307">
        <f>INVESTMENT!J15</f>
        <v>330</v>
      </c>
      <c r="K15" s="308">
        <f>INVESTMENT!K15</f>
        <v>137280</v>
      </c>
      <c r="L15" s="309">
        <f>INVESTMENT!L15</f>
        <v>162</v>
      </c>
      <c r="M15" s="309">
        <f>INVESTMENT!M15</f>
        <v>67392</v>
      </c>
      <c r="N15" s="308">
        <f>INVESTMENT!N15</f>
        <v>69888</v>
      </c>
      <c r="O15" s="307">
        <f>INVESTMENT!O15</f>
        <v>300</v>
      </c>
      <c r="P15" s="309">
        <f>INVESTMENT!P15</f>
        <v>124800</v>
      </c>
      <c r="Q15" s="308">
        <f>INVESTMENT!Q15</f>
        <v>57408</v>
      </c>
      <c r="R15" s="310">
        <f>INVESTMENT!R15</f>
        <v>0.46</v>
      </c>
      <c r="S15" s="311">
        <f>INVESTMENT!S15</f>
        <v>9.0909090909090939E-2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>EL</v>
      </c>
      <c r="B16" s="284" t="str">
        <f>IF(INVESTMENT!B16="","",INVESTMENT!B16)</f>
        <v/>
      </c>
      <c r="C16" s="284"/>
      <c r="D16" s="284">
        <f>IF(INVESTMENT!D16="","",INVESTMENT!D16)</f>
        <v>2</v>
      </c>
      <c r="E16" s="313">
        <f>IF(INVESTMENT!E16="","",INVESTMENT!E16)</f>
        <v>43608</v>
      </c>
      <c r="F16" s="313">
        <f>IF(INVESTMENT!F16="","",INVESTMENT!F16)</f>
        <v>43679</v>
      </c>
      <c r="G16" s="452">
        <f>IF(INVESTMENT!G16="","",INVESTMENT!G16)</f>
        <v>1</v>
      </c>
      <c r="H16" s="315">
        <f>INVESTMENT!H16</f>
        <v>52</v>
      </c>
      <c r="I16" s="316">
        <f>INVESTMENT!I16</f>
        <v>416</v>
      </c>
      <c r="J16" s="272">
        <f>INVESTMENT!J16</f>
        <v>305</v>
      </c>
      <c r="K16" s="317">
        <f>INVESTMENT!K16</f>
        <v>126880</v>
      </c>
      <c r="L16" s="273">
        <f>INVESTMENT!L16</f>
        <v>139</v>
      </c>
      <c r="M16" s="273">
        <f>INVESTMENT!M16</f>
        <v>57824</v>
      </c>
      <c r="N16" s="317">
        <f>INVESTMENT!N16</f>
        <v>69056</v>
      </c>
      <c r="O16" s="272">
        <f>INVESTMENT!O16</f>
        <v>200</v>
      </c>
      <c r="P16" s="273">
        <f>INVESTMENT!P16</f>
        <v>83200</v>
      </c>
      <c r="Q16" s="317">
        <f>INVESTMENT!Q16</f>
        <v>25376</v>
      </c>
      <c r="R16" s="318">
        <f>INVESTMENT!R16</f>
        <v>0.30499999999999999</v>
      </c>
      <c r="S16" s="314">
        <f>INVESTMENT!S16</f>
        <v>0.34426229508196726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104</v>
      </c>
      <c r="I32" s="330">
        <f>SUM(I15:I31)</f>
        <v>832</v>
      </c>
      <c r="J32" s="269"/>
      <c r="K32" s="331">
        <f>SUM(K15:K31)</f>
        <v>264160</v>
      </c>
      <c r="L32" s="332"/>
      <c r="M32" s="332">
        <f>SUM(M15:M31)</f>
        <v>125216</v>
      </c>
      <c r="N32" s="331">
        <f>SUM(N15:N31)</f>
        <v>138944</v>
      </c>
      <c r="P32" s="332">
        <f>SUM(P15:P31)</f>
        <v>208000</v>
      </c>
      <c r="Q32" s="331">
        <f>SUM(Q15:Q31)</f>
        <v>82784</v>
      </c>
      <c r="R32" s="333">
        <f>IF(H32=0,"",Q32/P32)</f>
        <v>0.39800000000000002</v>
      </c>
      <c r="S32" s="292">
        <f>IF(H32=0,"",1-P32/K32)</f>
        <v>0.21259842519685035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104</v>
      </c>
      <c r="I48" s="342">
        <f>INVESTMENT!I48</f>
        <v>832</v>
      </c>
      <c r="J48" s="269"/>
      <c r="K48" s="341">
        <f>INVESTMENT!K48</f>
        <v>264160</v>
      </c>
      <c r="L48" s="332"/>
      <c r="M48" s="341">
        <f>M32+M43+M45+M46+M47</f>
        <v>125216</v>
      </c>
      <c r="N48" s="341">
        <f>N32+N43+N45+N47+N58+N46</f>
        <v>138944</v>
      </c>
      <c r="P48" s="341">
        <f>P32+P43+P45+P46+P47</f>
        <v>208000</v>
      </c>
      <c r="Q48" s="341">
        <f>Q32+Q43+Q45+Q47+Q58+Q46</f>
        <v>82784</v>
      </c>
      <c r="R48" s="333">
        <f>IF(ISBLANK(A48),"",IF(P48&gt;0,Q48/P48,0))</f>
        <v>0.39800000000000002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104</v>
      </c>
      <c r="I59" s="330">
        <f>I48+I56</f>
        <v>832</v>
      </c>
      <c r="J59" s="269"/>
      <c r="K59" s="331">
        <f>K48</f>
        <v>264160</v>
      </c>
      <c r="L59" s="332"/>
      <c r="M59" s="332">
        <f>M48+M58</f>
        <v>125216</v>
      </c>
      <c r="N59" s="331">
        <f>N48</f>
        <v>138944</v>
      </c>
      <c r="P59" s="332">
        <f>P48+P58</f>
        <v>208000</v>
      </c>
      <c r="Q59" s="331">
        <f>INVESTMENT!Q59</f>
        <v>82784</v>
      </c>
      <c r="R59" s="333">
        <f>INVESTMENT!R59</f>
        <v>0.39800000000000002</v>
      </c>
      <c r="S59" s="292">
        <f>INVESTMENT!S59</f>
        <v>0.21259842519685035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208000</v>
      </c>
      <c r="Q61" s="281">
        <f>INVESTMENT!Q61</f>
        <v>82784</v>
      </c>
      <c r="R61" s="351">
        <f>INVESTMENT!R61</f>
        <v>0.39800000000000002</v>
      </c>
      <c r="S61" s="352">
        <f>INVESTMENT!S61</f>
        <v>0.21259842519685035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98.8</v>
      </c>
      <c r="I63" s="330">
        <f>INVESTMENT!I63</f>
        <v>790.4</v>
      </c>
      <c r="J63" s="269"/>
      <c r="K63" s="331">
        <f>INVESTMENT!K63</f>
        <v>250952</v>
      </c>
      <c r="L63" s="332"/>
      <c r="M63" s="331">
        <f>INVESTMENT!M63</f>
        <v>118955.2</v>
      </c>
      <c r="N63" s="331">
        <f>INVESTMENT!N63</f>
        <v>131996.79999999999</v>
      </c>
      <c r="O63" s="291"/>
      <c r="P63" s="332">
        <f>INVESTMENT!P63</f>
        <v>197600</v>
      </c>
      <c r="Q63" s="331">
        <f>INVESTMENT!Q63</f>
        <v>78644.800000000003</v>
      </c>
      <c r="R63" s="333">
        <f>INVESTMENT!R63</f>
        <v>0.39800000000000002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124.8</v>
      </c>
      <c r="I64" s="330">
        <f>INVESTMENT!I64</f>
        <v>998.4</v>
      </c>
      <c r="J64" s="269"/>
      <c r="K64" s="331">
        <f>INVESTMENT!K64</f>
        <v>316992</v>
      </c>
      <c r="L64" s="332"/>
      <c r="M64" s="331">
        <f>INVESTMENT!M64</f>
        <v>150259.19999999998</v>
      </c>
      <c r="N64" s="331">
        <f>INVESTMENT!N64</f>
        <v>166732.79999999999</v>
      </c>
      <c r="O64" s="291"/>
      <c r="P64" s="332">
        <f>INVESTMENT!P64</f>
        <v>249600</v>
      </c>
      <c r="Q64" s="331">
        <f>INVESTMENT!Q64</f>
        <v>99340.800000000003</v>
      </c>
      <c r="R64" s="333">
        <f>INVESTMENT!R64</f>
        <v>0.39800000000000002</v>
      </c>
      <c r="S64" s="292"/>
    </row>
    <row r="65" spans="10:10" x14ac:dyDescent="0.2">
      <c r="J65" s="269"/>
    </row>
  </sheetData>
  <sheetProtection sheet="1" objects="1" scenarios="1" sort="0" autoFilter="0" pivotTables="0"/>
  <mergeCells count="1">
    <mergeCell ref="A32:B32"/>
  </mergeCells>
  <dataValidations count="9">
    <dataValidation type="decimal" allowBlank="1" showInputMessage="1" showErrorMessage="1" sqref="G36:G42" xr:uid="{00000000-0002-0000-0100-000000000000}">
      <formula1>0</formula1>
      <formula2>9</formula2>
    </dataValidation>
    <dataValidation type="list" allowBlank="1" showInputMessage="1" showErrorMessage="1" sqref="C36:C42 C15:C31" xr:uid="{00000000-0002-0000-0100-000001000000}">
      <formula1>"APAC, EU, NA, SELECT ONE, ERROR"</formula1>
    </dataValidation>
    <dataValidation type="list" allowBlank="1" showInputMessage="1" showErrorMessage="1" sqref="B5" xr:uid="{00000000-0002-0000-0100-000002000000}">
      <formula1>"T&amp;M, Fixed Price, NSC, SELECT ONE"</formula1>
    </dataValidation>
    <dataValidation type="date" operator="greaterThanOrEqual" allowBlank="1" showInputMessage="1" showErrorMessage="1" sqref="E51:E52 E36:F36 E53:F55 E15:F30" xr:uid="{00000000-0002-0000-0100-000003000000}">
      <formula1>38353</formula1>
    </dataValidation>
    <dataValidation type="whole" showInputMessage="1" showErrorMessage="1" sqref="B10:D10" xr:uid="{00000000-0002-0000-0100-000004000000}">
      <formula1>8</formula1>
      <formula2>9</formula2>
    </dataValidation>
    <dataValidation type="date" operator="greaterThan" allowBlank="1" showInputMessage="1" showErrorMessage="1" sqref="F51:F52" xr:uid="{00000000-0002-0000-0100-000005000000}">
      <formula1>38353</formula1>
    </dataValidation>
    <dataValidation type="list" showInputMessage="1" showErrorMessage="1" sqref="C5:D5" xr:uid="{00000000-0002-0000-0100-000006000000}">
      <formula1>"T&amp;M, Fixed Price, SELECT ONE"</formula1>
    </dataValidation>
    <dataValidation type="list" showInputMessage="1" showErrorMessage="1" sqref="C9:D9" xr:uid="{00000000-0002-0000-0100-000007000000}">
      <formula1>"Quote, Estimate, SELECT ONE"</formula1>
    </dataValidation>
    <dataValidation type="decimal" allowBlank="1" showInputMessage="1" showErrorMessage="1" sqref="G51" xr:uid="{00000000-0002-0000-0100-000008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ColWidth="9.33203125"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&lt;Enter Account Name&gt;</v>
      </c>
      <c r="C1" s="137"/>
      <c r="D1" s="137"/>
    </row>
    <row r="2" spans="1:148" x14ac:dyDescent="0.2">
      <c r="A2" s="126" t="s">
        <v>157</v>
      </c>
      <c r="B2" s="138" t="str">
        <f>BID!B2</f>
        <v>ProfitCenter</v>
      </c>
      <c r="C2" s="137"/>
      <c r="D2" s="137"/>
      <c r="W2" s="382"/>
      <c r="Y2" s="96" t="s">
        <v>93</v>
      </c>
    </row>
    <row r="3" spans="1:148" x14ac:dyDescent="0.2">
      <c r="A3" s="126" t="s">
        <v>256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43608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43678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255</v>
      </c>
      <c r="C13" s="393" t="s">
        <v>91</v>
      </c>
      <c r="D13" s="393" t="s">
        <v>253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LSA</v>
      </c>
      <c r="B14" s="190" t="str">
        <f>IF(BID!B14="","",BID!B14)</f>
        <v>BSW v9</v>
      </c>
      <c r="C14" s="137"/>
      <c r="D14" s="401">
        <f>IF(BID!D14="","",BID!D14)</f>
        <v>2</v>
      </c>
      <c r="E14" s="402">
        <f>IF(BID!E14="","",BID!E14)</f>
        <v>43608</v>
      </c>
      <c r="F14" s="402">
        <f>IF(BID!F14="","",BID!F14)</f>
        <v>43678</v>
      </c>
      <c r="G14" s="403">
        <f>IF(BID!G14="","",BID!G14)</f>
        <v>0.6</v>
      </c>
      <c r="H14" s="404">
        <f>IF(BID!H14="","",BID!H14)</f>
        <v>61.199999999999996</v>
      </c>
      <c r="I14" s="404">
        <f>IF(BID!I14="","",BID!I14)</f>
        <v>489.59999999999997</v>
      </c>
      <c r="J14" s="404">
        <f>IF(BID!J14="","",BID!J14)</f>
        <v>305</v>
      </c>
      <c r="K14" s="405">
        <f>IF(BID!K14="","",BID!K14)</f>
        <v>149328</v>
      </c>
      <c r="L14" s="217">
        <f>IF(BID!L14="","",BID!L14)</f>
        <v>114</v>
      </c>
      <c r="M14" s="405">
        <f>IF(BID!M14="","",BID!M14)</f>
        <v>55814.399999999994</v>
      </c>
      <c r="N14" s="405">
        <f>IF(BID!N14="","",BID!N14)</f>
        <v>93513.600000000006</v>
      </c>
      <c r="O14" s="217">
        <f>IF(BID!O14="","",BID!O14)</f>
        <v>210</v>
      </c>
      <c r="P14" s="405">
        <f>IF(BID!P14="","",BID!P14)</f>
        <v>102816</v>
      </c>
      <c r="Q14" s="405">
        <f>IF(BID!Q14="","",BID!Q14)</f>
        <v>47001.600000000006</v>
      </c>
      <c r="R14" s="406">
        <f>IF(BID!R14="","",BID!R14)</f>
        <v>0.45714285714285718</v>
      </c>
      <c r="S14" s="407">
        <f>IF(BID!S14="","",BID!S14)</f>
        <v>0.31147540983606559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-NA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EL</v>
      </c>
      <c r="B15" s="190" t="str">
        <f>IF(BID!B15="","",BID!B15)</f>
        <v/>
      </c>
      <c r="C15" s="137"/>
      <c r="D15" s="401">
        <f>IF(BID!D15="","",BID!D15)</f>
        <v>1</v>
      </c>
      <c r="E15" s="402">
        <f>IF(BID!E15="","",BID!E15)</f>
        <v>43608</v>
      </c>
      <c r="F15" s="402">
        <f>IF(BID!F15="","",BID!F15)</f>
        <v>43678</v>
      </c>
      <c r="G15" s="403">
        <f>IF(BID!G15="","",BID!G15)</f>
        <v>0.7</v>
      </c>
      <c r="H15" s="404">
        <f>IF(BID!H15="","",BID!H15)</f>
        <v>35.699999999999996</v>
      </c>
      <c r="I15" s="404">
        <f>IF(BID!I15="","",BID!I15)</f>
        <v>285.59999999999997</v>
      </c>
      <c r="J15" s="404">
        <f>IF(BID!J15="","",BID!J15)</f>
        <v>305</v>
      </c>
      <c r="K15" s="405">
        <f>IF(BID!K15="","",BID!K15)</f>
        <v>87107.999999999985</v>
      </c>
      <c r="L15" s="217">
        <f>IF(BID!L15="","",BID!L15)</f>
        <v>139</v>
      </c>
      <c r="M15" s="405">
        <f>IF(BID!M15="","",BID!M15)</f>
        <v>39698.399999999994</v>
      </c>
      <c r="N15" s="405">
        <f>IF(BID!N15="","",BID!N15)</f>
        <v>47409.599999999991</v>
      </c>
      <c r="O15" s="217">
        <f>IF(BID!O15="","",BID!O15)</f>
        <v>200</v>
      </c>
      <c r="P15" s="405">
        <f>IF(BID!P15="","",BID!P15)</f>
        <v>57119.999999999993</v>
      </c>
      <c r="Q15" s="405">
        <f>IF(BID!Q15="","",BID!Q15)</f>
        <v>17421.599999999999</v>
      </c>
      <c r="R15" s="406">
        <f>IF(BID!R15="","",BID!R15)</f>
        <v>0.30499999999999999</v>
      </c>
      <c r="S15" s="407">
        <f>IF(BID!S15="","",BID!S15)</f>
        <v>0.34426229508196715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>DA</v>
      </c>
      <c r="B16" s="190" t="str">
        <f>IF(BID!B16="","",BID!B16)</f>
        <v/>
      </c>
      <c r="C16" s="137"/>
      <c r="D16" s="401">
        <f>IF(BID!D16="","",BID!D16)</f>
        <v>1</v>
      </c>
      <c r="E16" s="402">
        <f>IF(BID!E16="","",BID!E16)</f>
        <v>43608</v>
      </c>
      <c r="F16" s="402">
        <f>IF(BID!F16="","",BID!F16)</f>
        <v>43678</v>
      </c>
      <c r="G16" s="403">
        <f>IF(BID!G16="","",BID!G16)</f>
        <v>0.8</v>
      </c>
      <c r="H16" s="404">
        <f>IF(BID!H16="","",BID!H16)</f>
        <v>40.800000000000004</v>
      </c>
      <c r="I16" s="404">
        <f>IF(BID!I16="","",BID!I16)</f>
        <v>326.40000000000003</v>
      </c>
      <c r="J16" s="404">
        <f>IF(BID!J16="","",BID!J16)</f>
        <v>305</v>
      </c>
      <c r="K16" s="405">
        <f>IF(BID!K16="","",BID!K16)</f>
        <v>99552.000000000015</v>
      </c>
      <c r="L16" s="217">
        <f>IF(BID!L16="","",BID!L16)</f>
        <v>125</v>
      </c>
      <c r="M16" s="405">
        <f>IF(BID!M16="","",BID!M16)</f>
        <v>40800.000000000007</v>
      </c>
      <c r="N16" s="405">
        <f>IF(BID!N16="","",BID!N16)</f>
        <v>58752.000000000007</v>
      </c>
      <c r="O16" s="217">
        <f>IF(BID!O16="","",BID!O16)</f>
        <v>220</v>
      </c>
      <c r="P16" s="405">
        <f>IF(BID!P16="","",BID!P16)</f>
        <v>71808.000000000015</v>
      </c>
      <c r="Q16" s="405">
        <f>IF(BID!Q16="","",BID!Q16)</f>
        <v>31008.000000000007</v>
      </c>
      <c r="R16" s="406">
        <f>IF(BID!R16="","",BID!R16)</f>
        <v>0.43181818181818182</v>
      </c>
      <c r="S16" s="407">
        <f>IF(BID!S16="","",BID!S16)</f>
        <v>0.27868852459016391</v>
      </c>
      <c r="T16" s="408">
        <f>IF(ISBLANK(A16),"",VLOOKUP(A16,gsrates!$A$3:$AL$38,38,FALSE))</f>
        <v>1</v>
      </c>
      <c r="V16" s="381">
        <f t="shared" si="1"/>
        <v>326.40000000000003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-NA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-NA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-NA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-NA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-NA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-NA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-NA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-NA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-NA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137.69999999999999</v>
      </c>
      <c r="I32" s="412">
        <f>SUM(I14:I31)</f>
        <v>1101.5999999999999</v>
      </c>
      <c r="J32" s="33"/>
      <c r="K32" s="413">
        <f>SUM(K14:K31)</f>
        <v>335988</v>
      </c>
      <c r="L32" s="215"/>
      <c r="M32" s="215">
        <f>SUM(M14:M31)</f>
        <v>136312.79999999999</v>
      </c>
      <c r="N32" s="413">
        <f>SUM(N14:N31)</f>
        <v>199675.2</v>
      </c>
      <c r="P32" s="215">
        <f>SUM(P14:P31)</f>
        <v>231744</v>
      </c>
      <c r="Q32" s="413">
        <f>SUM(Q14:Q31)</f>
        <v>95431.200000000012</v>
      </c>
      <c r="R32" s="414">
        <f>IF(H32=0,"",Q32/P32)</f>
        <v>0.41179577464788736</v>
      </c>
      <c r="S32" s="51">
        <f>IF(H32=0,"",1-P32/K32)</f>
        <v>0.31026108075288406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-NA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-NA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-NA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41998.5</v>
      </c>
      <c r="L45" s="215"/>
      <c r="M45" s="421">
        <f>BID!M45</f>
        <v>17039.099999999999</v>
      </c>
      <c r="N45" s="421">
        <f>BID!N45</f>
        <v>24959.4</v>
      </c>
      <c r="P45" s="421">
        <f>BID!P45</f>
        <v>28968</v>
      </c>
      <c r="Q45" s="421">
        <f>BID!Q45</f>
        <v>11928.900000000001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137.69999999999999</v>
      </c>
      <c r="I48" s="422">
        <f>BID!I48</f>
        <v>1101.5999999999999</v>
      </c>
      <c r="J48" s="33"/>
      <c r="K48" s="421">
        <f>BID!K48</f>
        <v>377986.5</v>
      </c>
      <c r="L48" s="215"/>
      <c r="M48" s="421">
        <f>BID!M48</f>
        <v>153351.9</v>
      </c>
      <c r="N48" s="421">
        <f>BID!N48</f>
        <v>224634.6</v>
      </c>
      <c r="P48" s="421">
        <f>BID!P48</f>
        <v>260712</v>
      </c>
      <c r="Q48" s="421">
        <f>BID!Q48</f>
        <v>107360.1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137.69999999999999</v>
      </c>
      <c r="I59" s="412">
        <f>I48+I56</f>
        <v>1101.5999999999999</v>
      </c>
      <c r="J59" s="33"/>
      <c r="K59" s="413">
        <f>K48</f>
        <v>377986.5</v>
      </c>
      <c r="L59" s="215"/>
      <c r="M59" s="215">
        <f>M48+M58</f>
        <v>153351.9</v>
      </c>
      <c r="N59" s="413">
        <f>N48</f>
        <v>224634.6</v>
      </c>
      <c r="P59" s="215">
        <f>P48+P58</f>
        <v>260712</v>
      </c>
      <c r="Q59" s="413">
        <f>Q48</f>
        <v>107360.1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260712</v>
      </c>
      <c r="Q61" s="67">
        <f>P61-M59</f>
        <v>107360.1</v>
      </c>
      <c r="R61" s="414">
        <f>BID!R59</f>
        <v>0.41179577464788736</v>
      </c>
      <c r="S61" s="414">
        <f>BID!S59</f>
        <v>0.31026108075288406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130.81499999999997</v>
      </c>
      <c r="I63" s="412">
        <f>I59*(1-$G$8)</f>
        <v>1046.5199999999998</v>
      </c>
      <c r="J63" s="33"/>
      <c r="K63" s="413">
        <f>K59*(1-$G$8)</f>
        <v>359087.17499999999</v>
      </c>
      <c r="L63" s="215"/>
      <c r="M63" s="215">
        <f>M59*(1-$G$8)</f>
        <v>145684.30499999999</v>
      </c>
      <c r="N63" s="413">
        <f>N59*(1-$G$8)</f>
        <v>213402.87</v>
      </c>
      <c r="O63" s="386"/>
      <c r="P63" s="215">
        <f>P59*(1-$G$8)</f>
        <v>247676.4</v>
      </c>
      <c r="Q63" s="413">
        <f>Q59*(1-$G$8)</f>
        <v>101992.095</v>
      </c>
      <c r="R63" s="414">
        <f>IF(ISBLANK(A63),"",IF(P63&gt;0,Q63/P63,0))</f>
        <v>0.41179577464788736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165.23999999999998</v>
      </c>
      <c r="I64" s="412">
        <f>I59*(1+$G$9)</f>
        <v>1321.9199999999998</v>
      </c>
      <c r="J64" s="33"/>
      <c r="K64" s="413">
        <f>K59*(1+$G$9)</f>
        <v>453583.8</v>
      </c>
      <c r="L64" s="215"/>
      <c r="M64" s="215">
        <f>M59*(1+$G$9)</f>
        <v>184022.28</v>
      </c>
      <c r="N64" s="413">
        <f>N59*(1+$G$9)</f>
        <v>269561.52</v>
      </c>
      <c r="O64" s="386"/>
      <c r="P64" s="215">
        <f>P59*(1+$G$9)</f>
        <v>312854.39999999997</v>
      </c>
      <c r="Q64" s="413">
        <f>Q59*(1+$G$9)</f>
        <v>128832.12</v>
      </c>
      <c r="R64" s="414">
        <f>IF(ISBLANK(A64),"",IF(P64&gt;0,Q64/P64,0))</f>
        <v>0.41179577464788736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heet="1" sort="0" autoFilter="0" pivotTables="0"/>
  <mergeCells count="1">
    <mergeCell ref="A32:B32"/>
  </mergeCells>
  <dataValidations count="10">
    <dataValidation type="whole" allowBlank="1" showInputMessage="1" showErrorMessage="1" sqref="D14:D31 D36:D42" xr:uid="{00000000-0002-0000-0200-000000000000}">
      <formula1>0</formula1>
      <formula2>10</formula2>
    </dataValidation>
    <dataValidation type="decimal" allowBlank="1" showInputMessage="1" showErrorMessage="1" sqref="G51 G14:G31 G36:G42" xr:uid="{00000000-0002-0000-0200-000001000000}">
      <formula1>0</formula1>
      <formula2>1</formula2>
    </dataValidation>
    <dataValidation type="list" showInputMessage="1" showErrorMessage="1" sqref="C8:D8" xr:uid="{00000000-0002-0000-0200-000002000000}">
      <formula1>"Quote, Estimate, SELECT ONE"</formula1>
    </dataValidation>
    <dataValidation type="list" showInputMessage="1" showErrorMessage="1" sqref="C4:D4" xr:uid="{00000000-0002-0000-0200-000003000000}">
      <formula1>"T&amp;M, Fixed Price, SELECT ONE"</formula1>
    </dataValidation>
    <dataValidation type="date" operator="greaterThan" allowBlank="1" showInputMessage="1" showErrorMessage="1" sqref="F51:F52" xr:uid="{00000000-0002-0000-0200-000004000000}">
      <formula1>38353</formula1>
    </dataValidation>
    <dataValidation type="whole" showInputMessage="1" showErrorMessage="1" sqref="C9:D9" xr:uid="{00000000-0002-0000-0200-000005000000}">
      <formula1>8</formula1>
      <formula2>9</formula2>
    </dataValidation>
    <dataValidation type="date" operator="greaterThanOrEqual" allowBlank="1" showInputMessage="1" showErrorMessage="1" sqref="E51:E52 E53:F55 E14:F31 E36:F42" xr:uid="{00000000-0002-0000-0200-000006000000}">
      <formula1>38353</formula1>
    </dataValidation>
    <dataValidation type="list" showInputMessage="1" showErrorMessage="1" sqref="B10" xr:uid="{00000000-0002-0000-0200-000007000000}">
      <formula1>"SELECT ONE, APAC, EU, NA"</formula1>
    </dataValidation>
    <dataValidation type="list" allowBlank="1" showInputMessage="1" showErrorMessage="1" sqref="B4" xr:uid="{00000000-0002-0000-0200-000008000000}">
      <formula1>"T&amp;M, Fixed Price, SELECT ONE"</formula1>
    </dataValidation>
    <dataValidation type="list" allowBlank="1" showInputMessage="1" showErrorMessage="1" sqref="C14:C31" xr:uid="{00000000-0002-0000-0200-000009000000}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B6"/>
  <sheetViews>
    <sheetView workbookViewId="0">
      <selection activeCell="G19" sqref="G19"/>
    </sheetView>
  </sheetViews>
  <sheetFormatPr defaultColWidth="9.33203125"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260</v>
      </c>
      <c r="B6" s="130">
        <f>SUM(B2:B5)</f>
        <v>0</v>
      </c>
    </row>
  </sheetData>
  <sheetProtection sheet="1" objects="1" scenarios="1"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I24" sqref="I24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ProfitCenter</v>
      </c>
      <c r="C2" s="137"/>
      <c r="D2" s="137"/>
      <c r="W2" s="42"/>
      <c r="Y2" s="41" t="s">
        <v>93</v>
      </c>
    </row>
    <row r="3" spans="1:148" x14ac:dyDescent="0.2">
      <c r="A3" s="2" t="s">
        <v>256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43608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v>43678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">
        <v>268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255</v>
      </c>
      <c r="C13" s="12" t="s">
        <v>91</v>
      </c>
      <c r="D13" s="12" t="s">
        <v>253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213</v>
      </c>
      <c r="B14" s="156" t="s">
        <v>265</v>
      </c>
      <c r="C14" s="86"/>
      <c r="D14" s="372">
        <v>2</v>
      </c>
      <c r="E14" s="157">
        <v>43608</v>
      </c>
      <c r="F14" s="157">
        <v>43678</v>
      </c>
      <c r="G14" s="158">
        <v>0.6</v>
      </c>
      <c r="H14" s="159">
        <f>IF(D14&gt;0,IF(ISBLANK(A14),"",(NETWORKDAYS(E14,F14)*G14)*D14),"")</f>
        <v>61.199999999999996</v>
      </c>
      <c r="I14" s="160">
        <f t="shared" ref="I14:I31" si="0">IF(ISBLANK(A14),"",H14*$B$9)</f>
        <v>489.59999999999997</v>
      </c>
      <c r="J14" s="172">
        <f>IF(ISBLANK(A14),"",VLOOKUP(A14,gsrates!$A$3:$AK$38,VLOOKUP($B$5,gsrates!$A$41:$C$58,2,FALSE),FALSE))</f>
        <v>305</v>
      </c>
      <c r="K14" s="79">
        <f t="shared" ref="K14:K31" si="1">IF(ISBLANK(A14),"",I14*J14)</f>
        <v>149328</v>
      </c>
      <c r="L14" s="203">
        <f>IF(ISBLANK(A14),"",VLOOKUP(A14,gsrates!$A$3:$AK$38,VLOOKUP($B$5,gsrates!$A$41:$C$58,3,FALSE),FALSE))</f>
        <v>114</v>
      </c>
      <c r="M14" s="203">
        <f t="shared" ref="M14:M31" si="2">IF(ISBLANK(A14),"",L14*H14*8)</f>
        <v>55814.399999999994</v>
      </c>
      <c r="N14" s="79">
        <f t="shared" ref="N14:N31" si="3">IF(ISBLANK(A14),"",K14-M14)</f>
        <v>93513.600000000006</v>
      </c>
      <c r="O14" s="173">
        <v>210</v>
      </c>
      <c r="P14" s="203">
        <f t="shared" ref="P14:P31" si="4">IF(ISBLANK(A14),"",H14*O14*$B$9)</f>
        <v>102816</v>
      </c>
      <c r="Q14" s="79">
        <f t="shared" ref="Q14:Q31" si="5">IF(ISBLANK(A14),"",P14-M14)</f>
        <v>47001.600000000006</v>
      </c>
      <c r="R14" s="151">
        <f t="shared" ref="R14:R31" si="6">IF(ISBLANK(A14),"",Q14/P14)</f>
        <v>0.45714285714285718</v>
      </c>
      <c r="S14" s="162">
        <f t="shared" ref="S14:S31" si="7">IF(ISBLANK(A14),"",1-P14/K14)</f>
        <v>0.31147540983606559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-NA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210</v>
      </c>
      <c r="B15" s="156"/>
      <c r="C15" s="86"/>
      <c r="D15" s="372">
        <v>1</v>
      </c>
      <c r="E15" s="157">
        <v>43608</v>
      </c>
      <c r="F15" s="157">
        <v>43678</v>
      </c>
      <c r="G15" s="158">
        <v>0.7</v>
      </c>
      <c r="H15" s="159">
        <f>IF(D15&gt;0,(IF(ISBLANK(A15),"",NETWORKDAYS(E15,F15)*G15)*D15),"")</f>
        <v>35.699999999999996</v>
      </c>
      <c r="I15" s="160">
        <f t="shared" si="0"/>
        <v>285.59999999999997</v>
      </c>
      <c r="J15" s="172">
        <f>IF(ISBLANK(A15),"",VLOOKUP(A15,gsrates!$A$3:$AK$38,VLOOKUP($B$5,gsrates!$A$41:$C$58,2,FALSE),FALSE))</f>
        <v>305</v>
      </c>
      <c r="K15" s="79">
        <f t="shared" si="1"/>
        <v>87107.999999999985</v>
      </c>
      <c r="L15" s="203">
        <f>IF(ISBLANK(A15),"",VLOOKUP(A15,gsrates!$A$3:$AK$38,VLOOKUP($B$5,gsrates!$A$41:$C$58,3,FALSE),FALSE))</f>
        <v>139</v>
      </c>
      <c r="M15" s="203">
        <f t="shared" si="2"/>
        <v>39698.399999999994</v>
      </c>
      <c r="N15" s="79">
        <f t="shared" si="3"/>
        <v>47409.599999999991</v>
      </c>
      <c r="O15" s="173">
        <v>200</v>
      </c>
      <c r="P15" s="203">
        <f t="shared" si="4"/>
        <v>57119.999999999993</v>
      </c>
      <c r="Q15" s="79">
        <f t="shared" si="5"/>
        <v>17421.599999999999</v>
      </c>
      <c r="R15" s="151">
        <f t="shared" si="6"/>
        <v>0.30499999999999999</v>
      </c>
      <c r="S15" s="162">
        <f t="shared" si="7"/>
        <v>0.34426229508196715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 t="s">
        <v>227</v>
      </c>
      <c r="B16" s="156"/>
      <c r="C16" s="86"/>
      <c r="D16" s="372">
        <v>1</v>
      </c>
      <c r="E16" s="157">
        <v>43608</v>
      </c>
      <c r="F16" s="157">
        <v>43678</v>
      </c>
      <c r="G16" s="158">
        <v>0.8</v>
      </c>
      <c r="H16" s="159">
        <f t="shared" ref="H16:H30" si="10">IF(D16&gt;0,(IF(ISBLANK(A16),"",NETWORKDAYS(E16,F16)*G16)*D16),"")</f>
        <v>40.800000000000004</v>
      </c>
      <c r="I16" s="160">
        <f t="shared" si="0"/>
        <v>326.40000000000003</v>
      </c>
      <c r="J16" s="172">
        <f>IF(ISBLANK(A16),"",VLOOKUP(A16,gsrates!$A$3:$AK$38,VLOOKUP($B$5,gsrates!$A$41:$C$58,2,FALSE),FALSE))</f>
        <v>305</v>
      </c>
      <c r="K16" s="79">
        <f t="shared" si="1"/>
        <v>99552.000000000015</v>
      </c>
      <c r="L16" s="203">
        <f>IF(ISBLANK(A16),"",VLOOKUP(A16,gsrates!$A$3:$AK$38,VLOOKUP($B$5,gsrates!$A$41:$C$58,3,FALSE),FALSE))</f>
        <v>125</v>
      </c>
      <c r="M16" s="203">
        <f t="shared" si="2"/>
        <v>40800.000000000007</v>
      </c>
      <c r="N16" s="79">
        <f t="shared" si="3"/>
        <v>58752.000000000007</v>
      </c>
      <c r="O16" s="173">
        <v>220</v>
      </c>
      <c r="P16" s="203">
        <f t="shared" si="4"/>
        <v>71808.000000000015</v>
      </c>
      <c r="Q16" s="79">
        <f t="shared" si="5"/>
        <v>31008.000000000007</v>
      </c>
      <c r="R16" s="151">
        <f t="shared" si="6"/>
        <v>0.43181818181818182</v>
      </c>
      <c r="S16" s="162">
        <f t="shared" si="7"/>
        <v>0.27868852459016391</v>
      </c>
      <c r="T16" s="360">
        <f>IF(ISBLANK(A16),"",VLOOKUP(A16,gsrates!$A$3:$AL$38,38,FALSE))</f>
        <v>1</v>
      </c>
      <c r="V16" s="366">
        <f t="shared" si="9"/>
        <v>326.40000000000003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137.69999999999999</v>
      </c>
      <c r="I32" s="9">
        <f>SUM(I14:I31)</f>
        <v>1101.5999999999999</v>
      </c>
      <c r="J32" s="31"/>
      <c r="K32" s="36">
        <f>SUM(K14:K31)</f>
        <v>335988</v>
      </c>
      <c r="L32" s="205"/>
      <c r="M32" s="205">
        <f>SUM(M14:M31)</f>
        <v>136312.79999999999</v>
      </c>
      <c r="N32" s="36">
        <f>SUM(N14:N31)</f>
        <v>199675.2</v>
      </c>
      <c r="O32" s="33"/>
      <c r="P32" s="205">
        <f>SUM(P14:P31)</f>
        <v>231744</v>
      </c>
      <c r="Q32" s="36">
        <f>SUM(Q14:Q31)</f>
        <v>95431.200000000012</v>
      </c>
      <c r="R32" s="15">
        <f>IF(H32=0,"",Q32/P32)</f>
        <v>0.41179577464788736</v>
      </c>
      <c r="S32" s="8">
        <f>IF(H32=0,"",1-P32/K32)</f>
        <v>0.31026108075288406</v>
      </c>
      <c r="T32" s="361">
        <f>SUM(T14:T31)</f>
        <v>1</v>
      </c>
      <c r="V32" s="361">
        <f>SUM(V14:V31)</f>
        <v>326.40000000000003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41998.5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17039.099999999999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24959.4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28968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11928.900000000001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137.69999999999999</v>
      </c>
      <c r="I48" s="448">
        <f>IF(ISBLANK($B$6),0,H48*$B$9)</f>
        <v>1101.5999999999999</v>
      </c>
      <c r="J48" s="33"/>
      <c r="K48" s="17">
        <f>K32+K43+K45+K46+K47</f>
        <v>377986.5</v>
      </c>
      <c r="L48" s="205"/>
      <c r="M48" s="17">
        <f>M32+M43+M45+M46+M47</f>
        <v>153351.9</v>
      </c>
      <c r="N48" s="17">
        <f>N32+N43+N45+N47+N58+N46</f>
        <v>224634.6</v>
      </c>
      <c r="P48" s="17">
        <f>P32+P43+P45+P46+P47</f>
        <v>260712</v>
      </c>
      <c r="Q48" s="17">
        <f>Q32+Q43+Q45+Q47+Q58+Q46</f>
        <v>107360.1</v>
      </c>
      <c r="R48" s="15">
        <f>IF(ISBLANK(A48),"",IF(P48&gt;0,Q48/P48,0))</f>
        <v>0.41179577464788736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137.69999999999999</v>
      </c>
      <c r="I59" s="9">
        <f>I48+I56</f>
        <v>1101.5999999999999</v>
      </c>
      <c r="J59" s="31"/>
      <c r="K59" s="36">
        <f>K48</f>
        <v>377986.5</v>
      </c>
      <c r="L59" s="205"/>
      <c r="M59" s="205">
        <f>M48+M58</f>
        <v>153351.9</v>
      </c>
      <c r="N59" s="36">
        <f>N48</f>
        <v>224634.6</v>
      </c>
      <c r="O59" s="33"/>
      <c r="P59" s="205">
        <f>P48+P58</f>
        <v>260712</v>
      </c>
      <c r="Q59" s="36">
        <f>Q48</f>
        <v>107360.1</v>
      </c>
      <c r="R59" s="15">
        <f>IF(ISBLANK(A59),"",IF(P59&gt;0,Q59/P59,0))</f>
        <v>0.41179577464788736</v>
      </c>
      <c r="S59" s="8">
        <f>IF(ISBLANK(A59),"",IF(K59&gt;0,1-P59/K59,1))</f>
        <v>0.31026108075288406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260712</v>
      </c>
      <c r="Q61" s="43">
        <f>P61-M59</f>
        <v>107360.1</v>
      </c>
      <c r="R61" s="44">
        <f>IF(ISBLANK(A61),"",IF(P61&gt;0,Q61/P61,0))</f>
        <v>0.41179577464788736</v>
      </c>
      <c r="S61" s="45">
        <f>IF(ISBLANK(A61),"",IF(K59&gt;0,1-P61/K59,1))</f>
        <v>0.31026108075288406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130.81499999999997</v>
      </c>
      <c r="I63" s="9">
        <f>I59*(1-$G$8)</f>
        <v>1046.5199999999998</v>
      </c>
      <c r="J63" s="31"/>
      <c r="K63" s="36">
        <f>K59*(1-$G$8)</f>
        <v>359087.17499999999</v>
      </c>
      <c r="L63" s="205"/>
      <c r="M63" s="205">
        <f>M59*(1-$G$8)</f>
        <v>145684.30499999999</v>
      </c>
      <c r="N63" s="36">
        <f>N59*(1-$G$8)</f>
        <v>213402.87</v>
      </c>
      <c r="O63" s="49"/>
      <c r="P63" s="205">
        <f>P59*(1-$G$8)</f>
        <v>247676.4</v>
      </c>
      <c r="Q63" s="36">
        <f>Q59*(1-$G$8)</f>
        <v>101992.095</v>
      </c>
      <c r="R63" s="15">
        <f>IF(ISBLANK(A63),"",IF(P63&gt;0,Q63/P63,0))</f>
        <v>0.41179577464788736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165.23999999999998</v>
      </c>
      <c r="I64" s="9">
        <f>I59*(1+$G$9)</f>
        <v>1321.9199999999998</v>
      </c>
      <c r="J64" s="31"/>
      <c r="K64" s="36">
        <f>K59*(1+$G$9)</f>
        <v>453583.8</v>
      </c>
      <c r="L64" s="205"/>
      <c r="M64" s="205">
        <f>M59*(1+$G$9)</f>
        <v>184022.28</v>
      </c>
      <c r="N64" s="36">
        <f>N59*(1+$G$9)</f>
        <v>269561.52</v>
      </c>
      <c r="O64" s="49"/>
      <c r="P64" s="205">
        <f>P59*(1+$G$9)</f>
        <v>312854.39999999997</v>
      </c>
      <c r="Q64" s="36">
        <f>Q59*(1+$G$9)</f>
        <v>128832.12</v>
      </c>
      <c r="R64" s="15">
        <f>IF(ISBLANK(A64),"",IF(P64&gt;0,Q64/P64,0))</f>
        <v>0.41179577464788736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257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258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259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heet="1" sort="0" autoFilter="0" pivotTables="0"/>
  <mergeCells count="1">
    <mergeCell ref="A32:B32"/>
  </mergeCells>
  <dataValidations count="12">
    <dataValidation type="decimal" allowBlank="1" showInputMessage="1" showErrorMessage="1" sqref="G14:G31 G51" xr:uid="{00000000-0002-0000-0500-000000000000}">
      <formula1>0</formula1>
      <formula2>1</formula2>
    </dataValidation>
    <dataValidation type="list" allowBlank="1" showInputMessage="1" showErrorMessage="1" sqref="C14:C31" xr:uid="{00000000-0002-0000-0500-000001000000}">
      <formula1>"APAC, EU, NA, SELECT ONE, ERROR"</formula1>
    </dataValidation>
    <dataValidation type="list" allowBlank="1" showInputMessage="1" showErrorMessage="1" sqref="B8" xr:uid="{00000000-0002-0000-0500-000002000000}">
      <formula1>"Quote, Estimate, Select One"</formula1>
    </dataValidation>
    <dataValidation type="list" allowBlank="1" showInputMessage="1" showErrorMessage="1" sqref="B4" xr:uid="{00000000-0002-0000-0500-000003000000}">
      <formula1>"T&amp;M, Fixed Price, SELECT ONE"</formula1>
    </dataValidation>
    <dataValidation type="list" showInputMessage="1" showErrorMessage="1" sqref="B10" xr:uid="{00000000-0002-0000-0500-000004000000}">
      <formula1>"SELECT ONE, APAC, EU, NA"</formula1>
    </dataValidation>
    <dataValidation type="date" operator="greaterThanOrEqual" allowBlank="1" showInputMessage="1" showErrorMessage="1" sqref="E51:E52 E53:F55 E37:F42 E36 E14:E31" xr:uid="{00000000-0002-0000-0500-000005000000}">
      <formula1>38353</formula1>
    </dataValidation>
    <dataValidation type="whole" showInputMessage="1" showErrorMessage="1" sqref="B9:D9" xr:uid="{00000000-0002-0000-0500-000006000000}">
      <formula1>8</formula1>
      <formula2>9</formula2>
    </dataValidation>
    <dataValidation type="decimal" allowBlank="1" showInputMessage="1" showErrorMessage="1" sqref="G36:G42" xr:uid="{00000000-0002-0000-0500-000007000000}">
      <formula1>0</formula1>
      <formula2>5</formula2>
    </dataValidation>
    <dataValidation type="date" operator="greaterThan" allowBlank="1" showInputMessage="1" showErrorMessage="1" sqref="F51:F52 F36 F14:F31" xr:uid="{00000000-0002-0000-0500-000008000000}">
      <formula1>38353</formula1>
    </dataValidation>
    <dataValidation type="list" showInputMessage="1" showErrorMessage="1" sqref="C4:D4" xr:uid="{00000000-0002-0000-0500-000009000000}">
      <formula1>"T&amp;M, Fixed Price, SELECT ONE"</formula1>
    </dataValidation>
    <dataValidation type="list" showInputMessage="1" showErrorMessage="1" sqref="C8:D8" xr:uid="{00000000-0002-0000-0500-00000A000000}">
      <formula1>"Quote, Estimate, SELECT ONE"</formula1>
    </dataValidation>
    <dataValidation type="whole" allowBlank="1" showInputMessage="1" showErrorMessage="1" sqref="D14:D31" xr:uid="{00000000-0002-0000-0500-00000B000000}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C000000}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&lt;Enter Account Name&gt;</v>
      </c>
      <c r="C1" s="137"/>
    </row>
    <row r="2" spans="1:147" x14ac:dyDescent="0.2">
      <c r="A2" s="2" t="s">
        <v>157</v>
      </c>
      <c r="B2" s="135" t="str">
        <f>IF(ISBLANK(Summary!B3)," ",Summary!B3)</f>
        <v>ProfitCenter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T&amp;M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str">
        <f>IF(AND(O75&gt;0,O77=0),"Enter Total Price in N43"," ")</f>
        <v xml:space="preserve"> 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209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210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211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212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213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214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215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216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217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218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219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220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221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222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223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224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225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226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227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228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229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230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231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232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234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235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236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238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239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240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241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242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243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244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>
        <f>IF($B$4="Fixed Price",L74,0)</f>
        <v>0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>
        <f>O64+O74</f>
        <v>0</v>
      </c>
      <c r="P75" s="36">
        <f>P64</f>
        <v>0</v>
      </c>
      <c r="Q75" s="15">
        <f>IF(ISBLANK(A75),"",IF(O75&gt;0,P75/O75,0))</f>
        <v>0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>
        <f>O75</f>
        <v>0</v>
      </c>
      <c r="P77" s="43" t="e">
        <f>O77-L75</f>
        <v>#REF!</v>
      </c>
      <c r="Q77" s="44">
        <f>IF(ISBLANK(A77),"",IF(O77&gt;0,P77/O77,0))</f>
        <v>0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>
        <f>O75*(1-$F$8)</f>
        <v>0</v>
      </c>
      <c r="P79" s="36">
        <f>P75*(1-$F$8)</f>
        <v>0</v>
      </c>
      <c r="Q79" s="15">
        <f>IF(ISBLANK(A79),"",IF(O79&gt;0,P79/O79,0))</f>
        <v>0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>
        <f>O75*(1+$F$9)</f>
        <v>0</v>
      </c>
      <c r="P80" s="36">
        <f>P75*(1+$F$9)</f>
        <v>0</v>
      </c>
      <c r="Q80" s="15">
        <f>IF(ISBLANK(A80),"",IF(O80&gt;0,P80/O80,0))</f>
        <v>0</v>
      </c>
      <c r="R80" s="260"/>
    </row>
    <row r="81" spans="9:9" x14ac:dyDescent="0.2">
      <c r="I81" s="31"/>
    </row>
  </sheetData>
  <sheetProtection sheet="1" objects="1" scenarios="1"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 xr:uid="{00000000-0002-0000-0600-000000000000}">
      <formula1>0</formula1>
      <formula2>9</formula2>
    </dataValidation>
    <dataValidation type="list" allowBlank="1" showInputMessage="1" showErrorMessage="1" sqref="C14:C47" xr:uid="{00000000-0002-0000-0600-000001000000}">
      <formula1>"APAC, EU, NA, SELECT ONE, ERROR"</formula1>
    </dataValidation>
    <dataValidation type="list" allowBlank="1" showInputMessage="1" showErrorMessage="1" sqref="B8" xr:uid="{00000000-0002-0000-0600-000002000000}">
      <formula1>"Quote, Estimate, Select One"</formula1>
    </dataValidation>
    <dataValidation type="list" allowBlank="1" showInputMessage="1" showErrorMessage="1" sqref="B4" xr:uid="{00000000-0002-0000-0600-000003000000}">
      <formula1>"T&amp;M, Fixed Price, SELECT ONE"</formula1>
    </dataValidation>
    <dataValidation type="list" showInputMessage="1" showErrorMessage="1" sqref="B10" xr:uid="{00000000-0002-0000-0600-000004000000}">
      <formula1>"SELECT ONE, APAC, EU, NA"</formula1>
    </dataValidation>
    <dataValidation type="date" operator="greaterThanOrEqual" allowBlank="1" showInputMessage="1" showErrorMessage="1" sqref="D67:D68 D69:E71 D53:E58 D52 D14:D47" xr:uid="{00000000-0002-0000-0600-000005000000}">
      <formula1>38353</formula1>
    </dataValidation>
    <dataValidation type="whole" showInputMessage="1" showErrorMessage="1" sqref="B9:C9" xr:uid="{00000000-0002-0000-0600-000006000000}">
      <formula1>8</formula1>
      <formula2>9</formula2>
    </dataValidation>
    <dataValidation type="decimal" allowBlank="1" showInputMessage="1" showErrorMessage="1" sqref="F52:F58" xr:uid="{00000000-0002-0000-0600-000007000000}">
      <formula1>0</formula1>
      <formula2>5</formula2>
    </dataValidation>
    <dataValidation type="date" operator="greaterThan" allowBlank="1" showInputMessage="1" showErrorMessage="1" sqref="E67:E68 E52 E14:E47" xr:uid="{00000000-0002-0000-0600-000008000000}">
      <formula1>38353</formula1>
    </dataValidation>
    <dataValidation type="list" showInputMessage="1" showErrorMessage="1" sqref="C4" xr:uid="{00000000-0002-0000-0600-000009000000}">
      <formula1>"T&amp;M, Fixed Price, SELECT ONE"</formula1>
    </dataValidation>
    <dataValidation type="list" showInputMessage="1" showErrorMessage="1" sqref="C8" xr:uid="{00000000-0002-0000-0600-00000A000000}">
      <formula1>"Quote, Estimate, SELECT ONE"</formula1>
    </dataValidation>
    <dataValidation type="decimal" allowBlank="1" showInputMessage="1" showErrorMessage="1" sqref="F67" xr:uid="{00000000-0002-0000-0600-00000B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C000000}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59" t="s">
        <v>132</v>
      </c>
      <c r="C1" s="459"/>
      <c r="D1" s="460" t="s">
        <v>169</v>
      </c>
      <c r="E1" s="461"/>
      <c r="F1" s="464" t="s">
        <v>170</v>
      </c>
      <c r="G1" s="463"/>
      <c r="H1" s="466" t="s">
        <v>175</v>
      </c>
      <c r="I1" s="462"/>
      <c r="J1" s="465" t="s">
        <v>172</v>
      </c>
      <c r="K1" s="459"/>
      <c r="L1" s="462" t="s">
        <v>146</v>
      </c>
      <c r="M1" s="462"/>
      <c r="N1" s="460" t="s">
        <v>196</v>
      </c>
      <c r="O1" s="461"/>
      <c r="P1" s="463" t="s">
        <v>147</v>
      </c>
      <c r="Q1" s="463"/>
      <c r="R1" s="459" t="s">
        <v>148</v>
      </c>
      <c r="S1" s="459"/>
      <c r="T1" s="466" t="s">
        <v>198</v>
      </c>
      <c r="U1" s="462"/>
      <c r="V1" s="465" t="s">
        <v>197</v>
      </c>
      <c r="W1" s="459"/>
      <c r="X1" s="460" t="s">
        <v>151</v>
      </c>
      <c r="Y1" s="461"/>
      <c r="Z1" s="460" t="s">
        <v>247</v>
      </c>
      <c r="AA1" s="461"/>
      <c r="AB1" s="466" t="s">
        <v>176</v>
      </c>
      <c r="AC1" s="462"/>
      <c r="AD1" s="465" t="s">
        <v>195</v>
      </c>
      <c r="AE1" s="459"/>
      <c r="AF1" s="462" t="s">
        <v>149</v>
      </c>
      <c r="AG1" s="462"/>
      <c r="AH1" s="463" t="s">
        <v>150</v>
      </c>
      <c r="AI1" s="463"/>
      <c r="AJ1" s="465" t="s">
        <v>156</v>
      </c>
      <c r="AK1" s="459"/>
      <c r="AL1" s="467"/>
      <c r="AM1" s="468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209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210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211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212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213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214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215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216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217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218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219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220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221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222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223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224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225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226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227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228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229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230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231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232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233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234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235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236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237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238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239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240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241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242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243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244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247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208</v>
      </c>
      <c r="B59" s="223">
        <v>38</v>
      </c>
      <c r="C59" s="223">
        <v>38</v>
      </c>
    </row>
    <row r="60" spans="1:3" x14ac:dyDescent="0.2">
      <c r="B60" s="223" t="s">
        <v>245</v>
      </c>
    </row>
    <row r="61" spans="1:3" x14ac:dyDescent="0.2">
      <c r="A61" s="96" t="s">
        <v>209</v>
      </c>
      <c r="B61" s="223" t="s">
        <v>248</v>
      </c>
    </row>
    <row r="62" spans="1:3" x14ac:dyDescent="0.2">
      <c r="A62" s="96" t="s">
        <v>210</v>
      </c>
      <c r="B62" s="223" t="s">
        <v>248</v>
      </c>
    </row>
    <row r="63" spans="1:3" x14ac:dyDescent="0.2">
      <c r="A63" s="96" t="s">
        <v>211</v>
      </c>
      <c r="B63" s="223" t="s">
        <v>246</v>
      </c>
    </row>
    <row r="64" spans="1:3" x14ac:dyDescent="0.2">
      <c r="A64" s="96" t="s">
        <v>212</v>
      </c>
      <c r="B64" s="223" t="s">
        <v>246</v>
      </c>
    </row>
    <row r="65" spans="1:2" x14ac:dyDescent="0.2">
      <c r="A65" s="96" t="s">
        <v>213</v>
      </c>
      <c r="B65" s="223" t="s">
        <v>246</v>
      </c>
    </row>
    <row r="66" spans="1:2" x14ac:dyDescent="0.2">
      <c r="A66" s="96" t="s">
        <v>214</v>
      </c>
      <c r="B66" s="223" t="s">
        <v>246</v>
      </c>
    </row>
    <row r="67" spans="1:2" x14ac:dyDescent="0.2">
      <c r="A67" s="96" t="s">
        <v>215</v>
      </c>
      <c r="B67" s="223" t="s">
        <v>246</v>
      </c>
    </row>
    <row r="68" spans="1:2" x14ac:dyDescent="0.2">
      <c r="A68" s="96" t="s">
        <v>216</v>
      </c>
      <c r="B68" s="223" t="s">
        <v>246</v>
      </c>
    </row>
    <row r="69" spans="1:2" x14ac:dyDescent="0.2">
      <c r="A69" s="96" t="s">
        <v>217</v>
      </c>
      <c r="B69" s="223" t="s">
        <v>246</v>
      </c>
    </row>
    <row r="70" spans="1:2" x14ac:dyDescent="0.2">
      <c r="A70" s="96" t="s">
        <v>218</v>
      </c>
      <c r="B70" s="223" t="s">
        <v>246</v>
      </c>
    </row>
    <row r="71" spans="1:2" x14ac:dyDescent="0.2">
      <c r="A71" s="96" t="s">
        <v>219</v>
      </c>
      <c r="B71" s="223" t="s">
        <v>246</v>
      </c>
    </row>
    <row r="72" spans="1:2" x14ac:dyDescent="0.2">
      <c r="A72" s="190" t="s">
        <v>220</v>
      </c>
      <c r="B72" s="223" t="s">
        <v>246</v>
      </c>
    </row>
    <row r="73" spans="1:2" x14ac:dyDescent="0.2">
      <c r="A73" s="190" t="s">
        <v>221</v>
      </c>
      <c r="B73" s="223" t="s">
        <v>246</v>
      </c>
    </row>
    <row r="74" spans="1:2" x14ac:dyDescent="0.2">
      <c r="A74" s="190" t="s">
        <v>222</v>
      </c>
      <c r="B74" s="223" t="s">
        <v>246</v>
      </c>
    </row>
    <row r="75" spans="1:2" x14ac:dyDescent="0.2">
      <c r="A75" s="190" t="s">
        <v>223</v>
      </c>
      <c r="B75" s="223" t="s">
        <v>246</v>
      </c>
    </row>
    <row r="76" spans="1:2" x14ac:dyDescent="0.2">
      <c r="A76" s="190" t="s">
        <v>224</v>
      </c>
      <c r="B76" s="223" t="s">
        <v>246</v>
      </c>
    </row>
    <row r="77" spans="1:2" x14ac:dyDescent="0.2">
      <c r="A77" s="190" t="s">
        <v>225</v>
      </c>
      <c r="B77" s="223" t="s">
        <v>249</v>
      </c>
    </row>
    <row r="78" spans="1:2" x14ac:dyDescent="0.2">
      <c r="A78" s="190" t="s">
        <v>226</v>
      </c>
      <c r="B78" s="223" t="s">
        <v>249</v>
      </c>
    </row>
    <row r="79" spans="1:2" x14ac:dyDescent="0.2">
      <c r="A79" s="96" t="s">
        <v>227</v>
      </c>
      <c r="B79" s="223" t="s">
        <v>249</v>
      </c>
    </row>
    <row r="80" spans="1:2" x14ac:dyDescent="0.2">
      <c r="A80" s="96" t="s">
        <v>228</v>
      </c>
      <c r="B80" s="223" t="s">
        <v>249</v>
      </c>
    </row>
    <row r="81" spans="1:2" x14ac:dyDescent="0.2">
      <c r="A81" s="96" t="s">
        <v>229</v>
      </c>
      <c r="B81" s="223" t="s">
        <v>249</v>
      </c>
    </row>
    <row r="82" spans="1:2" x14ac:dyDescent="0.2">
      <c r="A82" s="96" t="s">
        <v>230</v>
      </c>
      <c r="B82" s="223" t="s">
        <v>250</v>
      </c>
    </row>
    <row r="83" spans="1:2" x14ac:dyDescent="0.2">
      <c r="A83" s="96" t="s">
        <v>231</v>
      </c>
      <c r="B83" s="223" t="s">
        <v>250</v>
      </c>
    </row>
    <row r="84" spans="1:2" x14ac:dyDescent="0.2">
      <c r="A84" s="96" t="s">
        <v>232</v>
      </c>
      <c r="B84" s="223" t="s">
        <v>250</v>
      </c>
    </row>
    <row r="85" spans="1:2" x14ac:dyDescent="0.2">
      <c r="A85" s="96" t="s">
        <v>233</v>
      </c>
      <c r="B85" s="223" t="s">
        <v>250</v>
      </c>
    </row>
    <row r="86" spans="1:2" x14ac:dyDescent="0.2">
      <c r="A86" s="96" t="s">
        <v>234</v>
      </c>
      <c r="B86" s="223" t="s">
        <v>250</v>
      </c>
    </row>
    <row r="87" spans="1:2" x14ac:dyDescent="0.2">
      <c r="A87" s="96" t="s">
        <v>235</v>
      </c>
      <c r="B87" s="223" t="s">
        <v>250</v>
      </c>
    </row>
    <row r="88" spans="1:2" x14ac:dyDescent="0.2">
      <c r="A88" s="96" t="s">
        <v>236</v>
      </c>
      <c r="B88" s="223" t="s">
        <v>250</v>
      </c>
    </row>
    <row r="89" spans="1:2" x14ac:dyDescent="0.2">
      <c r="A89" s="96" t="s">
        <v>237</v>
      </c>
      <c r="B89" s="223" t="s">
        <v>250</v>
      </c>
    </row>
    <row r="90" spans="1:2" x14ac:dyDescent="0.2">
      <c r="A90" s="96" t="s">
        <v>238</v>
      </c>
      <c r="B90" s="223" t="s">
        <v>251</v>
      </c>
    </row>
    <row r="91" spans="1:2" x14ac:dyDescent="0.2">
      <c r="A91" s="96" t="s">
        <v>239</v>
      </c>
      <c r="B91" s="223" t="s">
        <v>251</v>
      </c>
    </row>
    <row r="92" spans="1:2" x14ac:dyDescent="0.2">
      <c r="A92" s="96" t="s">
        <v>240</v>
      </c>
      <c r="B92" s="223" t="s">
        <v>251</v>
      </c>
    </row>
    <row r="93" spans="1:2" x14ac:dyDescent="0.2">
      <c r="A93" s="96" t="s">
        <v>241</v>
      </c>
      <c r="B93" s="223" t="s">
        <v>251</v>
      </c>
    </row>
    <row r="94" spans="1:2" x14ac:dyDescent="0.2">
      <c r="A94" s="96" t="s">
        <v>242</v>
      </c>
      <c r="B94" s="223" t="s">
        <v>251</v>
      </c>
    </row>
    <row r="95" spans="1:2" x14ac:dyDescent="0.2">
      <c r="A95" s="96" t="s">
        <v>243</v>
      </c>
      <c r="B95" s="223" t="s">
        <v>251</v>
      </c>
    </row>
    <row r="96" spans="1:2" x14ac:dyDescent="0.2">
      <c r="A96" s="96" t="s">
        <v>244</v>
      </c>
      <c r="B96" s="223" t="s">
        <v>251</v>
      </c>
    </row>
    <row r="100" spans="1:1" x14ac:dyDescent="0.2">
      <c r="A100" s="96" t="s">
        <v>209</v>
      </c>
    </row>
    <row r="101" spans="1:1" x14ac:dyDescent="0.2">
      <c r="A101" s="96" t="s">
        <v>210</v>
      </c>
    </row>
    <row r="102" spans="1:1" x14ac:dyDescent="0.2">
      <c r="A102" s="96" t="s">
        <v>211</v>
      </c>
    </row>
    <row r="103" spans="1:1" x14ac:dyDescent="0.2">
      <c r="A103" s="96" t="s">
        <v>212</v>
      </c>
    </row>
    <row r="104" spans="1:1" x14ac:dyDescent="0.2">
      <c r="A104" s="96" t="s">
        <v>213</v>
      </c>
    </row>
    <row r="105" spans="1:1" x14ac:dyDescent="0.2">
      <c r="A105" s="96" t="s">
        <v>214</v>
      </c>
    </row>
    <row r="106" spans="1:1" x14ac:dyDescent="0.2">
      <c r="A106" s="96" t="s">
        <v>215</v>
      </c>
    </row>
    <row r="107" spans="1:1" x14ac:dyDescent="0.2">
      <c r="A107" s="96" t="s">
        <v>216</v>
      </c>
    </row>
    <row r="108" spans="1:1" x14ac:dyDescent="0.2">
      <c r="A108" s="96" t="s">
        <v>217</v>
      </c>
    </row>
    <row r="109" spans="1:1" x14ac:dyDescent="0.2">
      <c r="A109" s="96" t="s">
        <v>218</v>
      </c>
    </row>
    <row r="110" spans="1:1" x14ac:dyDescent="0.2">
      <c r="A110" s="96" t="s">
        <v>219</v>
      </c>
    </row>
    <row r="111" spans="1:1" x14ac:dyDescent="0.2">
      <c r="A111" s="190" t="s">
        <v>220</v>
      </c>
    </row>
    <row r="112" spans="1:1" x14ac:dyDescent="0.2">
      <c r="A112" s="190" t="s">
        <v>221</v>
      </c>
    </row>
    <row r="113" spans="1:1" x14ac:dyDescent="0.2">
      <c r="A113" s="190" t="s">
        <v>222</v>
      </c>
    </row>
    <row r="114" spans="1:1" x14ac:dyDescent="0.2">
      <c r="A114" s="190" t="s">
        <v>223</v>
      </c>
    </row>
    <row r="115" spans="1:1" x14ac:dyDescent="0.2">
      <c r="A115" s="190" t="s">
        <v>224</v>
      </c>
    </row>
    <row r="116" spans="1:1" x14ac:dyDescent="0.2">
      <c r="A116" s="190" t="s">
        <v>225</v>
      </c>
    </row>
    <row r="117" spans="1:1" x14ac:dyDescent="0.2">
      <c r="A117" s="190" t="s">
        <v>226</v>
      </c>
    </row>
    <row r="118" spans="1:1" x14ac:dyDescent="0.2">
      <c r="A118" s="96" t="s">
        <v>227</v>
      </c>
    </row>
    <row r="119" spans="1:1" x14ac:dyDescent="0.2">
      <c r="A119" s="96" t="s">
        <v>228</v>
      </c>
    </row>
    <row r="120" spans="1:1" x14ac:dyDescent="0.2">
      <c r="A120" s="96" t="s">
        <v>229</v>
      </c>
    </row>
    <row r="121" spans="1:1" x14ac:dyDescent="0.2">
      <c r="A121" s="96" t="s">
        <v>230</v>
      </c>
    </row>
    <row r="122" spans="1:1" x14ac:dyDescent="0.2">
      <c r="A122" s="96" t="s">
        <v>231</v>
      </c>
    </row>
    <row r="123" spans="1:1" x14ac:dyDescent="0.2">
      <c r="A123" s="96" t="s">
        <v>232</v>
      </c>
    </row>
    <row r="124" spans="1:1" x14ac:dyDescent="0.2">
      <c r="A124" s="96" t="s">
        <v>233</v>
      </c>
    </row>
    <row r="125" spans="1:1" x14ac:dyDescent="0.2">
      <c r="A125" s="96" t="s">
        <v>234</v>
      </c>
    </row>
    <row r="126" spans="1:1" x14ac:dyDescent="0.2">
      <c r="A126" s="96" t="s">
        <v>235</v>
      </c>
    </row>
    <row r="127" spans="1:1" x14ac:dyDescent="0.2">
      <c r="A127" s="96" t="s">
        <v>236</v>
      </c>
    </row>
    <row r="128" spans="1:1" x14ac:dyDescent="0.2">
      <c r="A128" s="96" t="s">
        <v>237</v>
      </c>
    </row>
    <row r="129" spans="1:1" x14ac:dyDescent="0.2">
      <c r="A129" s="96" t="s">
        <v>238</v>
      </c>
    </row>
    <row r="130" spans="1:1" x14ac:dyDescent="0.2">
      <c r="A130" s="96" t="s">
        <v>239</v>
      </c>
    </row>
    <row r="131" spans="1:1" x14ac:dyDescent="0.2">
      <c r="A131" s="96" t="s">
        <v>240</v>
      </c>
    </row>
    <row r="132" spans="1:1" x14ac:dyDescent="0.2">
      <c r="A132" s="96" t="s">
        <v>241</v>
      </c>
    </row>
    <row r="133" spans="1:1" x14ac:dyDescent="0.2">
      <c r="A133" s="96" t="s">
        <v>242</v>
      </c>
    </row>
    <row r="134" spans="1:1" x14ac:dyDescent="0.2">
      <c r="A134" s="96" t="s">
        <v>243</v>
      </c>
    </row>
    <row r="135" spans="1:1" x14ac:dyDescent="0.2">
      <c r="A135" s="96" t="s">
        <v>244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  <mergeCell ref="B1:C1"/>
    <mergeCell ref="D1:E1"/>
    <mergeCell ref="L1:M1"/>
    <mergeCell ref="P1:Q1"/>
    <mergeCell ref="R1:S1"/>
    <mergeCell ref="F1:G1"/>
    <mergeCell ref="J1:K1"/>
    <mergeCell ref="H1:I1"/>
    <mergeCell ref="N1: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6">
    <tabColor rgb="FFFFC000"/>
    <pageSetUpPr fitToPage="1"/>
  </sheetPr>
  <dimension ref="A1:ER65"/>
  <sheetViews>
    <sheetView tabSelected="1"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F16" sqref="F16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206</v>
      </c>
      <c r="B2" s="135" t="str">
        <f>IF(ISBLANK(Summary!B2)," ",Summary!B2)</f>
        <v>&lt;Enter Organization Name&gt;</v>
      </c>
      <c r="C2" s="137"/>
      <c r="D2" s="137"/>
    </row>
    <row r="3" spans="1:148" x14ac:dyDescent="0.2">
      <c r="A3" s="2" t="s">
        <v>157</v>
      </c>
      <c r="B3" s="135" t="s">
        <v>271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43607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157">
        <v>43679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">
        <v>272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255</v>
      </c>
      <c r="C14" s="12" t="s">
        <v>91</v>
      </c>
      <c r="D14" s="12" t="s">
        <v>253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209</v>
      </c>
      <c r="B15" s="156"/>
      <c r="C15" s="86"/>
      <c r="D15" s="372">
        <v>2</v>
      </c>
      <c r="E15" s="157">
        <v>43607</v>
      </c>
      <c r="F15" s="157">
        <v>43678</v>
      </c>
      <c r="G15" s="158">
        <v>1</v>
      </c>
      <c r="H15" s="159">
        <f t="shared" ref="H15:H31" si="0">IF(ISBLANK(A15),"",NETWORKDAYS(E15,F15)*G15)</f>
        <v>52</v>
      </c>
      <c r="I15" s="160">
        <f t="shared" ref="I15:I31" si="1">IF(ISBLANK(A15),"",H15*$B$10)</f>
        <v>416</v>
      </c>
      <c r="J15" s="172">
        <f>IF(ISBLANK(A15),"",VLOOKUP(A15,gsrates!$A$3:$AK$38,VLOOKUP($B$6,gsrates!$A$41:$C$58,2,FALSE),FALSE))</f>
        <v>330</v>
      </c>
      <c r="K15" s="79">
        <f t="shared" ref="K15:K31" si="2">IF(ISBLANK(A15),"",I15*J15)</f>
        <v>137280</v>
      </c>
      <c r="L15" s="203">
        <f>IF(ISBLANK(A15),"",VLOOKUP(A15,gsrates!$A$3:$AK$38,VLOOKUP($B$6,gsrates!$A$41:$C$58,3,FALSE),FALSE))</f>
        <v>162</v>
      </c>
      <c r="M15" s="203">
        <f t="shared" ref="M15:M31" si="3">IF(ISBLANK(A15),"",L15*H15*8)</f>
        <v>67392</v>
      </c>
      <c r="N15" s="79">
        <f t="shared" ref="N15:N31" si="4">IF(ISBLANK(A15),"",K15-M15)</f>
        <v>69888</v>
      </c>
      <c r="O15" s="173">
        <v>300</v>
      </c>
      <c r="P15" s="203">
        <f t="shared" ref="P15:P31" si="5">IF(ISBLANK(A15),"",H15*O15*$B$10)</f>
        <v>124800</v>
      </c>
      <c r="Q15" s="79">
        <f t="shared" ref="Q15:Q31" si="6">IF(ISBLANK(A15),"",P15-M15)</f>
        <v>57408</v>
      </c>
      <c r="R15" s="151">
        <f t="shared" ref="R15:R31" si="7">IF(ISBLANK(A15),"",Q15/P15)</f>
        <v>0.46</v>
      </c>
      <c r="S15" s="162">
        <f t="shared" ref="S15:S31" si="8">IF(ISBLANK(A15),"",1-P15/K15)</f>
        <v>9.0909090909090939E-2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 t="s">
        <v>210</v>
      </c>
      <c r="B16" s="156"/>
      <c r="C16" s="86"/>
      <c r="D16" s="372">
        <v>2</v>
      </c>
      <c r="E16" s="157">
        <v>43608</v>
      </c>
      <c r="F16" s="157">
        <v>43679</v>
      </c>
      <c r="G16" s="158">
        <v>1</v>
      </c>
      <c r="H16" s="159">
        <f t="shared" si="0"/>
        <v>52</v>
      </c>
      <c r="I16" s="160">
        <f t="shared" si="1"/>
        <v>416</v>
      </c>
      <c r="J16" s="172">
        <f>IF(ISBLANK(A16),"",VLOOKUP(A16,gsrates!$A$3:$AK$38,VLOOKUP($B$6,gsrates!$A$41:$C$58,2,FALSE),FALSE))</f>
        <v>305</v>
      </c>
      <c r="K16" s="79">
        <f t="shared" si="2"/>
        <v>126880</v>
      </c>
      <c r="L16" s="203">
        <f>IF(ISBLANK(A16),"",VLOOKUP(A16,gsrates!$A$3:$AK$38,VLOOKUP($B$6,gsrates!$A$41:$C$58,3,FALSE),FALSE))</f>
        <v>139</v>
      </c>
      <c r="M16" s="203">
        <f t="shared" si="3"/>
        <v>57824</v>
      </c>
      <c r="N16" s="79">
        <f t="shared" si="4"/>
        <v>69056</v>
      </c>
      <c r="O16" s="173">
        <v>200</v>
      </c>
      <c r="P16" s="203">
        <f t="shared" si="5"/>
        <v>83200</v>
      </c>
      <c r="Q16" s="79">
        <f t="shared" si="6"/>
        <v>25376</v>
      </c>
      <c r="R16" s="151">
        <f t="shared" si="7"/>
        <v>0.30499999999999999</v>
      </c>
      <c r="S16" s="162">
        <f t="shared" si="8"/>
        <v>0.34426229508196726</v>
      </c>
      <c r="T16" s="41"/>
      <c r="U16" s="41" t="str">
        <f t="shared" si="9"/>
        <v>-NA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104</v>
      </c>
      <c r="I32" s="9">
        <f>SUM(I15:I31)</f>
        <v>832</v>
      </c>
      <c r="J32" s="31"/>
      <c r="K32" s="36">
        <f>SUM(K15:K31)</f>
        <v>264160</v>
      </c>
      <c r="L32" s="205"/>
      <c r="M32" s="205">
        <f>SUM(M15:M31)</f>
        <v>125216</v>
      </c>
      <c r="N32" s="36">
        <f>SUM(N15:N31)</f>
        <v>138944</v>
      </c>
      <c r="O32" s="33"/>
      <c r="P32" s="205">
        <f>SUM(P15:P31)</f>
        <v>208000</v>
      </c>
      <c r="Q32" s="36">
        <f>SUM(Q15:Q31)</f>
        <v>82784</v>
      </c>
      <c r="R32" s="15">
        <f>IF(H32=0,"",Q32/P32)</f>
        <v>0.39800000000000002</v>
      </c>
      <c r="S32" s="8">
        <f>IF(H32=0,"",1-P32/K32)</f>
        <v>0.21259842519685035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104</v>
      </c>
      <c r="I48" s="17">
        <f>I32+I43+I45+I46+I47</f>
        <v>832</v>
      </c>
      <c r="J48" s="33"/>
      <c r="K48" s="17">
        <f>K32+K43+K45+K46+K47</f>
        <v>264160</v>
      </c>
      <c r="L48" s="205"/>
      <c r="M48" s="17">
        <f>M32+M43+M45+M46+M47</f>
        <v>125216</v>
      </c>
      <c r="N48" s="17">
        <f>N32+N43+N45+N47+N58+N46</f>
        <v>138944</v>
      </c>
      <c r="P48" s="17">
        <f>P32+P43+P45+P46+P47</f>
        <v>208000</v>
      </c>
      <c r="Q48" s="17">
        <f>Q32+Q43+Q45+Q47+Q58+Q46</f>
        <v>82784</v>
      </c>
      <c r="R48" s="15">
        <f>IF(ISBLANK(A48),"",IF(P48&gt;0,Q48/P48,0))</f>
        <v>0.39800000000000002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104</v>
      </c>
      <c r="I59" s="9">
        <f>I48+I56</f>
        <v>832</v>
      </c>
      <c r="J59" s="31"/>
      <c r="K59" s="36">
        <f>K48</f>
        <v>264160</v>
      </c>
      <c r="L59" s="205"/>
      <c r="M59" s="205">
        <f>M48+M58</f>
        <v>125216</v>
      </c>
      <c r="N59" s="36">
        <f>N48</f>
        <v>138944</v>
      </c>
      <c r="O59" s="33"/>
      <c r="P59" s="205">
        <f>P48+P58</f>
        <v>208000</v>
      </c>
      <c r="Q59" s="36">
        <f>Q48</f>
        <v>82784</v>
      </c>
      <c r="R59" s="15">
        <f>IF(ISBLANK(A59),"",IF(P59&gt;0,Q59/P59,0))</f>
        <v>0.39800000000000002</v>
      </c>
      <c r="S59" s="8">
        <f>IF(ISBLANK(A59),"",IF(K59&gt;0,1-P59/K59,1))</f>
        <v>0.21259842519685035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208000</v>
      </c>
      <c r="Q61" s="43">
        <f>P61-M59</f>
        <v>82784</v>
      </c>
      <c r="R61" s="44">
        <f>IF(ISBLANK(A61),"",IF(P61&gt;0,Q61/P61,0))</f>
        <v>0.39800000000000002</v>
      </c>
      <c r="S61" s="45">
        <f>IF(ISBLANK(A61),"",IF(K59&gt;0,1-P61/K59,1))</f>
        <v>0.21259842519685035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98.8</v>
      </c>
      <c r="I63" s="9">
        <f>I59*(1-$G$9)</f>
        <v>790.4</v>
      </c>
      <c r="J63" s="31"/>
      <c r="K63" s="36">
        <f>K59*(1-$G$9)</f>
        <v>250952</v>
      </c>
      <c r="L63" s="205"/>
      <c r="M63" s="205">
        <f>M59*(1-$G$9)</f>
        <v>118955.2</v>
      </c>
      <c r="N63" s="36">
        <f>N59*(1-$G$9)</f>
        <v>131996.79999999999</v>
      </c>
      <c r="O63" s="49"/>
      <c r="P63" s="205">
        <f>P59*(1-$G$9)</f>
        <v>197600</v>
      </c>
      <c r="Q63" s="36">
        <f>Q59*(1-$G$9)</f>
        <v>78644.800000000003</v>
      </c>
      <c r="R63" s="15">
        <f>IF(ISBLANK(A63),"",IF(P63&gt;0,Q63/P63,0))</f>
        <v>0.39800000000000002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124.8</v>
      </c>
      <c r="I64" s="9">
        <f>I59*(1+$G$10)</f>
        <v>998.4</v>
      </c>
      <c r="J64" s="31"/>
      <c r="K64" s="36">
        <f>K59*(1+$G$10)</f>
        <v>316992</v>
      </c>
      <c r="L64" s="205"/>
      <c r="M64" s="205">
        <f>M59*(1+$G$10)</f>
        <v>150259.19999999998</v>
      </c>
      <c r="N64" s="36">
        <f>N59*(1+$G$10)</f>
        <v>166732.79999999999</v>
      </c>
      <c r="O64" s="49"/>
      <c r="P64" s="205">
        <f>P59*(1+$G$10)</f>
        <v>249600</v>
      </c>
      <c r="Q64" s="36">
        <f>Q59*(1+$G$10)</f>
        <v>99340.800000000003</v>
      </c>
      <c r="R64" s="15">
        <f>IF(ISBLANK(A64),"",IF(P64&gt;0,Q64/P64,0))</f>
        <v>0.39800000000000002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 xr:uid="{00000000-0002-0000-0800-000000000000}">
      <formula1>0</formula1>
      <formula2>1</formula2>
    </dataValidation>
    <dataValidation type="list" allowBlank="1" showInputMessage="1" showErrorMessage="1" sqref="C15:C31" xr:uid="{00000000-0002-0000-0800-000001000000}">
      <formula1>"APAC, EU, NA, SELECT ONE, ERROR"</formula1>
    </dataValidation>
    <dataValidation type="list" allowBlank="1" showInputMessage="1" showErrorMessage="1" sqref="B9" xr:uid="{00000000-0002-0000-0800-000002000000}">
      <formula1>"Quote, Estimate, Select One"</formula1>
    </dataValidation>
    <dataValidation type="list" allowBlank="1" showInputMessage="1" showErrorMessage="1" sqref="B5" xr:uid="{00000000-0002-0000-0800-000003000000}">
      <formula1>"NSC, T&amp;M, Fixed Price, SELECT ONE"</formula1>
    </dataValidation>
    <dataValidation type="list" showInputMessage="1" showErrorMessage="1" sqref="B11" xr:uid="{00000000-0002-0000-0800-000004000000}">
      <formula1>"SELECT ONE, APAC, EU, NA"</formula1>
    </dataValidation>
    <dataValidation type="date" operator="greaterThanOrEqual" allowBlank="1" showInputMessage="1" showErrorMessage="1" sqref="E51:E52 E53:F55 E37:F42 E36 E15:E31" xr:uid="{00000000-0002-0000-0800-000005000000}">
      <formula1>38353</formula1>
    </dataValidation>
    <dataValidation type="whole" showInputMessage="1" showErrorMessage="1" sqref="B10:D10" xr:uid="{00000000-0002-0000-0800-000006000000}">
      <formula1>8</formula1>
      <formula2>9</formula2>
    </dataValidation>
    <dataValidation type="decimal" allowBlank="1" showInputMessage="1" showErrorMessage="1" sqref="G36:G42" xr:uid="{00000000-0002-0000-0800-000007000000}">
      <formula1>0</formula1>
      <formula2>5</formula2>
    </dataValidation>
    <dataValidation type="date" operator="greaterThan" allowBlank="1" showInputMessage="1" showErrorMessage="1" sqref="F51:F52 F36 F15:F31" xr:uid="{00000000-0002-0000-0800-000008000000}">
      <formula1>38353</formula1>
    </dataValidation>
    <dataValidation type="list" showInputMessage="1" showErrorMessage="1" sqref="C5:D5" xr:uid="{00000000-0002-0000-0800-000009000000}">
      <formula1>"T&amp;M, Fixed Price, SELECT ONE"</formula1>
    </dataValidation>
    <dataValidation type="list" showInputMessage="1" showErrorMessage="1" sqref="C9:D9" xr:uid="{00000000-0002-0000-0800-00000A000000}">
      <formula1>"Quote, Estimate, SELECT ONE"</formula1>
    </dataValidation>
    <dataValidation type="decimal" allowBlank="1" showInputMessage="1" showErrorMessage="1" sqref="G51" xr:uid="{00000000-0002-0000-0800-00000B000000}">
      <formula1>0</formula1>
      <formula2>1</formula2>
    </dataValidation>
    <dataValidation type="whole" allowBlank="1" showInputMessage="1" showErrorMessage="1" sqref="D15:D31" xr:uid="{00000000-0002-0000-0800-00000C000000}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D000000}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 xr:uid="{00000000-0002-0000-0900-000000000000}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GS-OPS-DELTA-WORK-INVESTMENT INV-14MAR2018-2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 xsi:nil="true"/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20180314T081744.256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24A3D88-48E6-4D38-9EF8-E09FCED87FB0}">
  <ds:schemaRefs>
    <ds:schemaRef ds:uri="http://schemas.microsoft.com/office/2006/metadata/properties"/>
    <ds:schemaRef ds:uri="http://purl.org/dc/terms/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25c0f05f-b61a-491f-a19d-37e3a42ecd69"/>
    <ds:schemaRef ds:uri="87fa94fe-5ad7-4dd5-a490-5e3f0ba4b54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6C0AF96-77A4-4199-9D32-5E081FFBA8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4C9EBC9-B7D3-4BE5-88D3-296ADEBD63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Ranjan, Sumit</cp:lastModifiedBy>
  <cp:lastPrinted>2015-07-01T11:20:10Z</cp:lastPrinted>
  <dcterms:created xsi:type="dcterms:W3CDTF">2006-01-03T13:58:19Z</dcterms:created>
  <dcterms:modified xsi:type="dcterms:W3CDTF">2018-06-21T06:55:20Z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
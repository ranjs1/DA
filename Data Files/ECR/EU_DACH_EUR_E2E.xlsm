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\Data Files\ECR\"/>
    </mc:Choice>
  </mc:AlternateContent>
  <xr:revisionPtr revIDLastSave="0" documentId="13_ncr:1_{AFA710DB-E5C4-41A8-84AF-B933B332733B}" xr6:coauthVersionLast="36" xr6:coauthVersionMax="36" xr10:uidLastSave="{00000000-0000-0000-0000-000000000000}"/>
  <bookViews>
    <workbookView xWindow="0" yWindow="0" windowWidth="28800" windowHeight="1222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1" i="34"/>
  <c r="V20" i="34"/>
  <c r="V19" i="34"/>
  <c r="V18" i="34"/>
  <c r="V17" i="34"/>
  <c r="V15" i="34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T25" i="40" s="1"/>
  <c r="V25" i="40" s="1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D16" i="14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I17" i="40" l="1"/>
  <c r="P17" i="40"/>
  <c r="I16" i="40"/>
  <c r="V16" i="40" s="1"/>
  <c r="V32" i="40" s="1"/>
  <c r="I15" i="40"/>
  <c r="I18" i="40"/>
  <c r="P15" i="34"/>
  <c r="P15" i="40" s="1"/>
  <c r="G23" i="33"/>
  <c r="H23" i="33" s="1"/>
  <c r="O23" i="33" l="1"/>
  <c r="V31" i="34" l="1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9"/>
  <c r="B3" i="38" s="1"/>
  <c r="B1" i="39"/>
  <c r="B1" i="38" s="1"/>
  <c r="H56" i="39" l="1"/>
  <c r="L16" i="39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Q32" i="39" s="1"/>
  <c r="S16" i="39"/>
  <c r="S16" i="38" s="1"/>
  <c r="N16" i="39"/>
  <c r="N16" i="38" s="1"/>
  <c r="K16" i="38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L19" i="34" l="1"/>
  <c r="J19" i="34"/>
  <c r="J18" i="34"/>
  <c r="L18" i="34"/>
  <c r="J17" i="34"/>
  <c r="L17" i="34"/>
  <c r="N43" i="40"/>
  <c r="L16" i="34"/>
  <c r="J15" i="34"/>
  <c r="J16" i="34"/>
  <c r="L15" i="34"/>
  <c r="Q43" i="40"/>
  <c r="H56" i="34"/>
  <c r="M43" i="34"/>
  <c r="M38" i="40"/>
  <c r="M43" i="40" s="1"/>
  <c r="I43" i="34"/>
  <c r="I39" i="40"/>
  <c r="I43" i="40" s="1"/>
  <c r="L14" i="34"/>
  <c r="L14" i="40" s="1"/>
  <c r="B5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H46" i="34" s="1"/>
  <c r="U14" i="34"/>
  <c r="I14" i="34"/>
  <c r="I14" i="40" s="1"/>
  <c r="I32" i="40" s="1"/>
  <c r="P14" i="34"/>
  <c r="P14" i="40" s="1"/>
  <c r="P32" i="40" s="1"/>
  <c r="J14" i="34"/>
  <c r="J14" i="40" s="1"/>
  <c r="I46" i="34" l="1"/>
  <c r="I46" i="40" s="1"/>
  <c r="H46" i="40"/>
  <c r="J19" i="40"/>
  <c r="K19" i="34"/>
  <c r="M19" i="34"/>
  <c r="L19" i="40"/>
  <c r="L18" i="40"/>
  <c r="M18" i="34"/>
  <c r="J18" i="40"/>
  <c r="K18" i="34"/>
  <c r="M17" i="34"/>
  <c r="L17" i="40"/>
  <c r="J17" i="40"/>
  <c r="K17" i="34"/>
  <c r="J15" i="40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5" i="34" l="1"/>
  <c r="P46" i="34"/>
  <c r="P46" i="40" s="1"/>
  <c r="M19" i="40"/>
  <c r="Q19" i="34"/>
  <c r="S19" i="34"/>
  <c r="S19" i="40" s="1"/>
  <c r="N19" i="34"/>
  <c r="N19" i="40" s="1"/>
  <c r="K19" i="40"/>
  <c r="K18" i="40"/>
  <c r="S18" i="34"/>
  <c r="S18" i="40" s="1"/>
  <c r="N18" i="34"/>
  <c r="N18" i="40" s="1"/>
  <c r="M18" i="40"/>
  <c r="Q18" i="34"/>
  <c r="K17" i="40"/>
  <c r="S17" i="34"/>
  <c r="S17" i="40" s="1"/>
  <c r="N17" i="34"/>
  <c r="N17" i="40" s="1"/>
  <c r="M17" i="40"/>
  <c r="Q17" i="34"/>
  <c r="K16" i="40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H47" i="40"/>
  <c r="I47" i="34"/>
  <c r="M16" i="40"/>
  <c r="Q16" i="34"/>
  <c r="Q14" i="34"/>
  <c r="Q14" i="40" s="1"/>
  <c r="P47" i="34"/>
  <c r="P47" i="40" s="1"/>
  <c r="H45" i="40"/>
  <c r="S14" i="34"/>
  <c r="S14" i="40" s="1"/>
  <c r="K14" i="40"/>
  <c r="P45" i="40"/>
  <c r="C24" i="14"/>
  <c r="H48" i="34"/>
  <c r="I48" i="34" s="1"/>
  <c r="K32" i="34"/>
  <c r="K46" i="34" s="1"/>
  <c r="K46" i="40" s="1"/>
  <c r="N14" i="34"/>
  <c r="N14" i="40" s="1"/>
  <c r="G26" i="33"/>
  <c r="H26" i="33" s="1"/>
  <c r="R26" i="33" s="1"/>
  <c r="M47" i="34" l="1"/>
  <c r="M47" i="40" s="1"/>
  <c r="M46" i="34"/>
  <c r="M46" i="40" s="1"/>
  <c r="R19" i="34"/>
  <c r="R19" i="40" s="1"/>
  <c r="Q19" i="40"/>
  <c r="R18" i="34"/>
  <c r="R18" i="40" s="1"/>
  <c r="Q18" i="40"/>
  <c r="Q17" i="40"/>
  <c r="R17" i="34"/>
  <c r="R17" i="40" s="1"/>
  <c r="K32" i="40"/>
  <c r="S32" i="40" s="1"/>
  <c r="M45" i="34"/>
  <c r="M45" i="40" s="1"/>
  <c r="M32" i="40"/>
  <c r="N32" i="40"/>
  <c r="R16" i="34"/>
  <c r="R16" i="40" s="1"/>
  <c r="Q16" i="40"/>
  <c r="R15" i="34"/>
  <c r="R15" i="40" s="1"/>
  <c r="Q15" i="40"/>
  <c r="R14" i="34"/>
  <c r="R14" i="40" s="1"/>
  <c r="Q32" i="34"/>
  <c r="K45" i="34"/>
  <c r="K45" i="40" s="1"/>
  <c r="K47" i="34"/>
  <c r="K47" i="40" s="1"/>
  <c r="D24" i="14"/>
  <c r="I59" i="34"/>
  <c r="I47" i="40"/>
  <c r="H59" i="34"/>
  <c r="H64" i="34" s="1"/>
  <c r="H48" i="40"/>
  <c r="H59" i="40" s="1"/>
  <c r="N32" i="34"/>
  <c r="N46" i="34" s="1"/>
  <c r="N46" i="40" s="1"/>
  <c r="P48" i="34"/>
  <c r="E24" i="14"/>
  <c r="R47" i="34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S45" i="34" l="1"/>
  <c r="S47" i="40" s="1"/>
  <c r="Q45" i="34"/>
  <c r="Q45" i="40" s="1"/>
  <c r="Q46" i="34"/>
  <c r="Q46" i="40" s="1"/>
  <c r="M48" i="34"/>
  <c r="M48" i="40" s="1"/>
  <c r="Q32" i="40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G62" i="33"/>
  <c r="A79" i="33"/>
  <c r="R45" i="34" l="1"/>
  <c r="R47" i="40" s="1"/>
  <c r="G63" i="33"/>
  <c r="H63" i="33" s="1"/>
  <c r="Q48" i="34"/>
  <c r="Q48" i="40" s="1"/>
  <c r="Q59" i="40" s="1"/>
  <c r="Q64" i="40" s="1"/>
  <c r="I63" i="40"/>
  <c r="K59" i="34"/>
  <c r="K48" i="40"/>
  <c r="K59" i="40" s="1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H62" i="33"/>
  <c r="Q63" i="33" l="1"/>
  <c r="R48" i="34"/>
  <c r="O61" i="33"/>
  <c r="O63" i="33"/>
  <c r="Q63" i="40"/>
  <c r="Q59" i="34"/>
  <c r="Q63" i="34" s="1"/>
  <c r="K63" i="34"/>
  <c r="H24" i="14"/>
  <c r="K64" i="34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H61" i="33"/>
  <c r="H64" i="33" s="1"/>
  <c r="H75" i="33" s="1"/>
  <c r="Q61" i="33"/>
  <c r="G79" i="33"/>
  <c r="G80" i="33"/>
  <c r="B10" i="33"/>
  <c r="Q48" i="33" l="1"/>
  <c r="P62" i="33"/>
  <c r="O64" i="33"/>
  <c r="O75" i="33" s="1"/>
  <c r="O80" i="33" s="1"/>
  <c r="Q64" i="34"/>
  <c r="N64" i="34"/>
  <c r="N64" i="40"/>
  <c r="N63" i="40"/>
  <c r="L64" i="33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P58" i="34" s="1"/>
  <c r="L74" i="33"/>
  <c r="L75" i="33" s="1"/>
  <c r="P58" i="40" l="1"/>
  <c r="P59" i="40" s="1"/>
  <c r="P59" i="34"/>
  <c r="M58" i="40"/>
  <c r="M59" i="40" s="1"/>
  <c r="M59" i="34"/>
  <c r="B17" i="14" s="1"/>
  <c r="P32" i="38"/>
  <c r="H32" i="38"/>
  <c r="L79" i="33"/>
  <c r="L80" i="33"/>
  <c r="P77" i="33"/>
  <c r="Q77" i="33" s="1"/>
  <c r="P63" i="34" l="1"/>
  <c r="R63" i="34" s="1"/>
  <c r="P64" i="34"/>
  <c r="R64" i="34" s="1"/>
  <c r="P61" i="34"/>
  <c r="H5" i="34" s="1"/>
  <c r="S59" i="34"/>
  <c r="S61" i="40" s="1"/>
  <c r="R59" i="34"/>
  <c r="R61" i="40" s="1"/>
  <c r="P61" i="40"/>
  <c r="Q61" i="40" s="1"/>
  <c r="P64" i="40"/>
  <c r="R64" i="40" s="1"/>
  <c r="P63" i="40"/>
  <c r="R63" i="40" s="1"/>
  <c r="I24" i="14"/>
  <c r="M64" i="34"/>
  <c r="M63" i="34"/>
  <c r="M64" i="40"/>
  <c r="M63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61" i="34" l="1"/>
  <c r="R61" i="34" s="1"/>
  <c r="H5" i="40"/>
  <c r="B16" i="14"/>
  <c r="G24" i="14"/>
  <c r="S61" i="34"/>
  <c r="Q32" i="38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<sst xmlns="http://schemas.openxmlformats.org/spreadsheetml/2006/main" count="941" uniqueCount="271">
  <si>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</si>
  <si>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</si>
  <si>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</si>
  <si>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</si>
  <si>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</si>
  <si>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</si>
  <si>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</si>
  <si>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</si>
  <si>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</si>
  <si>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</si>
  <si>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</si>
  <si>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</si>
  <si>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</si>
  <si>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</si>
  <si>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</si>
  <si>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</si>
  <si>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</si>
  <si>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</si>
  <si>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</si>
  <si>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</si>
  <si>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</si>
  <si>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</si>
  <si>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</si>
  <si>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</si>
  <si>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</si>
  <si>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</si>
  <si>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</si>
  <si>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</si>
  <si>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</si>
  <si>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</si>
  <si>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</si>
  <si>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</si>
  <si>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</si>
  <si>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</si>
  <si>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</si>
  <si>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</si>
  <si>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</si>
  <si>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</si>
  <si>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</si>
  <si>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</si>
  <si>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</si>
  <si>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</si>
  <si>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</si>
  <si>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</si>
  <si>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</si>
  <si>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</si>
  <si>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</si>
  <si>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</si>
  <si>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</si>
  <si>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</si>
  <si>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</si>
  <si>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</si>
  <si>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</si>
  <si>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</si>
  <si>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</si>
  <si>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</si>
  <si>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</si>
  <si>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</si>
  <si>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</si>
  <si>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</si>
  <si>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</si>
  <si>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</si>
  <si>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</si>
  <si>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</si>
  <si>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</si>
  <si>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</si>
  <si>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</si>
  <si>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</si>
  <si>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</si>
  <si>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</si>
  <si>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</si>
  <si>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</si>
  <si>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</si>
  <si>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</si>
  <si>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</si>
  <si>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</si>
  <si>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</si>
  <si>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</si>
  <si>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</si>
  <si>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</si>
  <si>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</si>
  <si>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</si>
  <si>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</si>
  <si>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</si>
  <si>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</si>
  <si>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</si>
  <si>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</si>
  <si>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</si>
  <si>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</si>
  <si>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</si>
  <si>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</si>
  <si>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</si>
  <si>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</si>
  <si>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</si>
  <si>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</si>
  <si>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</si>
  <si>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</si>
  <si>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</si>
  <si>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</si>
  <si>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</si>
  <si>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</si>
  <si>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</si>
  <si>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</si>
  <si>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</si>
  <si>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</si>
  <si>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</si>
  <si>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</si>
  <si>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</si>
  <si>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</si>
  <si>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</si>
  <si>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</si>
  <si>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</si>
  <si>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</si>
  <si>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</si>
  <si>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</si>
  <si>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</si>
  <si>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</si>
  <si>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</si>
  <si>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</si>
  <si>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</si>
  <si>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</si>
  <si>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</si>
  <si>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</si>
  <si>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</si>
  <si>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</si>
  <si>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</si>
  <si>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</si>
  <si>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</si>
  <si>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</si>
  <si>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</si>
  <si>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</si>
  <si>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</si>
  <si>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</si>
  <si>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</si>
  <si>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</si>
  <si>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</si>
  <si>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</si>
  <si>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</si>
  <si>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</si>
  <si>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</si>
  <si>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</si>
  <si>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</si>
  <si>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</si>
  <si>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</si>
  <si>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</si>
  <si>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</si>
  <si>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</si>
  <si>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</si>
  <si>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</si>
  <si>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</si>
  <si>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</si>
  <si>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</si>
  <si>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</si>
  <si>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</si>
  <si>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</si>
  <si>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</si>
  <si>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</si>
  <si>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</si>
  <si>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</si>
  <si>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</si>
  <si>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</si>
  <si>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</si>
  <si>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</si>
  <si>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</si>
  <si>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</si>
  <si>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</si>
  <si>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</si>
  <si>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</si>
  <si>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</si>
  <si>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</si>
  <si>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</si>
  <si>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</si>
  <si>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</si>
  <si>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</si>
  <si>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</si>
  <si>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</si>
  <si>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</si>
  <si>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</si>
  <si>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</si>
  <si>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</si>
  <si>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</si>
  <si>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</si>
  <si>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</si>
  <si>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</si>
  <si>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</si>
  <si>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</si>
  <si>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</si>
  <si>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</si>
  <si>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</si>
  <si>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</si>
  <si>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</si>
  <si>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</si>
  <si>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</si>
  <si>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</si>
  <si>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</si>
  <si>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</si>
  <si>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</si>
  <si>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</si>
  <si>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</si>
  <si>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</si>
  <si>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</si>
  <si>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</si>
  <si>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</si>
  <si>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</si>
  <si>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</si>
  <si>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</si>
  <si>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</si>
  <si>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</si>
  <si>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</si>
  <si>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</si>
  <si>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</si>
  <si>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</si>
  <si>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</si>
  <si>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</si>
  <si>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</si>
  <si>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</si>
  <si>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</si>
  <si>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</si>
  <si>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</si>
  <si>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</si>
  <si>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</si>
  <si>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</si>
  <si>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</si>
  <si>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</si>
  <si>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</si>
  <si>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</si>
  <si>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</si>
  <si>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</si>
  <si>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</si>
  <si>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</si>
  <si>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</si>
  <si>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</si>
  <si>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</si>
  <si>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</si>
  <si>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</si>
  <si>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</si>
  <si>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</si>
  <si>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</si>
  <si>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</si>
  <si>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</si>
  <si>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</si>
  <si>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</si>
  <si>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</si>
  <si>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</si>
  <si>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</si>
  <si>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</si>
  <si>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</si>
  <si>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</si>
  <si>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</si>
  <si>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</si>
  <si>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</si>
  <si>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</si>
  <si>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</si>
  <si>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</si>
  <si>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</si>
  <si>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</si>
  <si>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</si>
  <si>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</si>
  <si>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</si>
  <si>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</si>
  <si>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</si>
  <si>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</si>
  <si>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</si>
  <si>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</si>
  <si>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</si>
  <si>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</si>
  <si>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PEGA</t>
  </si>
  <si>
    <t>AGILE</t>
  </si>
  <si>
    <t>Quote</t>
  </si>
  <si>
    <t>Service Product</t>
  </si>
  <si>
    <t>EU_DACH_EUR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</si>
</sst>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C5" sqref="C5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148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43435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266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267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EUR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10497600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36855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10460745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0.99648919753086418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EU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774</v>
      </c>
      <c r="C24" s="79">
        <f>BID!P32+BID!P43</f>
        <v>9331200</v>
      </c>
      <c r="D24" s="79">
        <f>BID!P47+BID!P46</f>
        <v>0</v>
      </c>
      <c r="E24" s="79">
        <f>BID!P45</f>
        <v>1166400</v>
      </c>
      <c r="F24" s="79"/>
      <c r="G24" s="112">
        <f>BID!P61</f>
        <v>10497600</v>
      </c>
      <c r="H24" s="79">
        <f>BID!K59</f>
        <v>98010</v>
      </c>
      <c r="I24" s="79">
        <f>BID!M59</f>
        <v>36855</v>
      </c>
      <c r="J24" s="79">
        <f>G24-I24</f>
        <v>10460745</v>
      </c>
      <c r="K24" s="151">
        <f>IF(G24&gt;0,J24/G24,0)</f>
        <v>0.99648919753086418</v>
      </c>
      <c r="L24" s="195">
        <f>IF(B24&gt;0,G24/B24,0)</f>
        <v>13562.790697674418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774</v>
      </c>
      <c r="C27" s="80">
        <f>SUM(C24:C26)</f>
        <v>9331200</v>
      </c>
      <c r="D27" s="80">
        <f>SUM(D24:D26)</f>
        <v>0</v>
      </c>
      <c r="E27" s="80">
        <f>SUM(E24:E26)</f>
        <v>1166400</v>
      </c>
      <c r="F27" s="80"/>
      <c r="G27" s="114">
        <f>SUM(G24:G26)</f>
        <v>10497600</v>
      </c>
      <c r="H27" s="80">
        <f>SUM(H24:H26)</f>
        <v>98010</v>
      </c>
      <c r="I27" s="80">
        <f>SUM(I24:I26)</f>
        <v>36855</v>
      </c>
      <c r="J27" s="81">
        <f>G27-I27</f>
        <v>10460745</v>
      </c>
      <c r="K27" s="154">
        <f>IF(G27&gt;0,J27/G27,0)</f>
        <v>0.99648919753086418</v>
      </c>
      <c r="L27" s="196">
        <f>IF(B27&gt;0,G27/B27,0)</f>
        <v>13562.790697674418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EU_DACH_EUR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DACH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43219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EUR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43219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68</v>
      </c>
      <c r="I15" s="306">
        <f>INVESTMENT!I15</f>
        <v>544</v>
      </c>
      <c r="J15" s="307">
        <f>INVESTMENT!J15</f>
        <v>250</v>
      </c>
      <c r="K15" s="308">
        <f>INVESTMENT!K15</f>
        <v>136000</v>
      </c>
      <c r="L15" s="309">
        <f>INVESTMENT!L15</f>
        <v>125</v>
      </c>
      <c r="M15" s="309">
        <f>INVESTMENT!M15</f>
        <v>68000</v>
      </c>
      <c r="N15" s="308">
        <f>INVESTMENT!N15</f>
        <v>68000</v>
      </c>
      <c r="O15" s="307">
        <f>INVESTMENT!O15</f>
        <v>300</v>
      </c>
      <c r="P15" s="309">
        <f>INVESTMENT!P15</f>
        <v>163200</v>
      </c>
      <c r="Q15" s="308">
        <f>INVESTMENT!Q15</f>
        <v>95200</v>
      </c>
      <c r="R15" s="310">
        <f>INVESTMENT!R15</f>
        <v>0.58333333333333337</v>
      </c>
      <c r="S15" s="311">
        <f>INVESTMENT!S15</f>
        <v>-0.19999999999999996</v>
      </c>
      <c r="T15" s="284"/>
      <c r="U15" s="284" t="str">
        <f t="shared" ref="U15:U31" si="0">IF(ISBLANK(A15),"",CONCATENATE(C15,"-",$B$6))</f>
        <v>-DACH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43219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69</v>
      </c>
      <c r="I16" s="316">
        <f>INVESTMENT!I16</f>
        <v>552</v>
      </c>
      <c r="J16" s="272">
        <f>INVESTMENT!J16</f>
        <v>225</v>
      </c>
      <c r="K16" s="317">
        <f>INVESTMENT!K16</f>
        <v>124200</v>
      </c>
      <c r="L16" s="273">
        <f>INVESTMENT!L16</f>
        <v>86</v>
      </c>
      <c r="M16" s="273">
        <f>INVESTMENT!M16</f>
        <v>47472</v>
      </c>
      <c r="N16" s="317">
        <f>INVESTMENT!N16</f>
        <v>76728</v>
      </c>
      <c r="O16" s="272">
        <f>INVESTMENT!O16</f>
        <v>200</v>
      </c>
      <c r="P16" s="273">
        <f>INVESTMENT!P16</f>
        <v>110400</v>
      </c>
      <c r="Q16" s="317">
        <f>INVESTMENT!Q16</f>
        <v>62928</v>
      </c>
      <c r="R16" s="318">
        <f>INVESTMENT!R16</f>
        <v>0.56999999999999995</v>
      </c>
      <c r="S16" s="314">
        <f>INVESTMENT!S16</f>
        <v>0.11111111111111116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-DACH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-DACH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-DACH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-DACH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-DACH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-DACH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-DACH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-DACH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-DACH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137</v>
      </c>
      <c r="I32" s="330">
        <f>SUM(I15:I31)</f>
        <v>1096</v>
      </c>
      <c r="J32" s="269"/>
      <c r="K32" s="331">
        <f>SUM(K15:K31)</f>
        <v>260200</v>
      </c>
      <c r="L32" s="332"/>
      <c r="M32" s="332">
        <f>SUM(M15:M31)</f>
        <v>115472</v>
      </c>
      <c r="N32" s="331">
        <f>SUM(N15:N31)</f>
        <v>144728</v>
      </c>
      <c r="P32" s="332">
        <f>SUM(P15:P31)</f>
        <v>273600</v>
      </c>
      <c r="Q32" s="331">
        <f>SUM(Q15:Q31)</f>
        <v>158128</v>
      </c>
      <c r="R32" s="333">
        <f>IF(H32=0,"",Q32/P32)</f>
        <v>0.577953216374269</v>
      </c>
      <c r="S32" s="292">
        <f>IF(H32=0,"",1-P32/K32)</f>
        <v>-5.1498847040737816E-2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-DACH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-DACH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-DACH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-DACH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-DACH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-DACH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-DACH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137</v>
      </c>
      <c r="I48" s="342">
        <f>INVESTMENT!I48</f>
        <v>1096</v>
      </c>
      <c r="J48" s="269"/>
      <c r="K48" s="341">
        <f>INVESTMENT!K48</f>
        <v>260200</v>
      </c>
      <c r="L48" s="332"/>
      <c r="M48" s="341">
        <f>M32+M43+M45+M46+M47</f>
        <v>115472</v>
      </c>
      <c r="N48" s="341">
        <f>N32+N43+N45+N47+N58+N46</f>
        <v>144728</v>
      </c>
      <c r="P48" s="341">
        <f>P32+P43+P45+P46+P47</f>
        <v>273600</v>
      </c>
      <c r="Q48" s="341">
        <f>Q32+Q43+Q45+Q47+Q58+Q46</f>
        <v>158128</v>
      </c>
      <c r="R48" s="333">
        <f>IF(ISBLANK(A48),"",IF(P48&gt;0,Q48/P48,0))</f>
        <v>0.577953216374269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137</v>
      </c>
      <c r="I59" s="330">
        <f>I48+I56</f>
        <v>1096</v>
      </c>
      <c r="J59" s="269"/>
      <c r="K59" s="331">
        <f>K48</f>
        <v>260200</v>
      </c>
      <c r="L59" s="332"/>
      <c r="M59" s="332">
        <f>M48+M58</f>
        <v>115472</v>
      </c>
      <c r="N59" s="331">
        <f>N48</f>
        <v>144728</v>
      </c>
      <c r="P59" s="332">
        <f>P48+P58</f>
        <v>273600</v>
      </c>
      <c r="Q59" s="331">
        <f>INVESTMENT!Q59</f>
        <v>158128</v>
      </c>
      <c r="R59" s="333">
        <f>INVESTMENT!R59</f>
        <v>0.577953216374269</v>
      </c>
      <c r="S59" s="292">
        <f>INVESTMENT!S59</f>
        <v>-5.1498847040737816E-2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273600</v>
      </c>
      <c r="Q61" s="281">
        <f>INVESTMENT!Q61</f>
        <v>158128</v>
      </c>
      <c r="R61" s="351">
        <f>INVESTMENT!R61</f>
        <v>0.577953216374269</v>
      </c>
      <c r="S61" s="352">
        <f>INVESTMENT!S61</f>
        <v>-5.1498847040737816E-2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130.15</v>
      </c>
      <c r="I63" s="330">
        <f>INVESTMENT!I63</f>
        <v>1041.2</v>
      </c>
      <c r="J63" s="269"/>
      <c r="K63" s="331">
        <f>INVESTMENT!K63</f>
        <v>247190</v>
      </c>
      <c r="L63" s="332"/>
      <c r="M63" s="331">
        <f>INVESTMENT!M63</f>
        <v>109698.4</v>
      </c>
      <c r="N63" s="331">
        <f>INVESTMENT!N63</f>
        <v>137491.6</v>
      </c>
      <c r="O63" s="291"/>
      <c r="P63" s="332">
        <f>INVESTMENT!P63</f>
        <v>259920</v>
      </c>
      <c r="Q63" s="331">
        <f>INVESTMENT!Q63</f>
        <v>150221.6</v>
      </c>
      <c r="R63" s="333">
        <f>INVESTMENT!R63</f>
        <v>0.577953216374269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164.4</v>
      </c>
      <c r="I64" s="330">
        <f>INVESTMENT!I64</f>
        <v>1315.2</v>
      </c>
      <c r="J64" s="269"/>
      <c r="K64" s="331">
        <f>INVESTMENT!K64</f>
        <v>312240</v>
      </c>
      <c r="L64" s="332"/>
      <c r="M64" s="331">
        <f>INVESTMENT!M64</f>
        <v>138566.39999999999</v>
      </c>
      <c r="N64" s="331">
        <f>INVESTMENT!N64</f>
        <v>173673.60000000001</v>
      </c>
      <c r="O64" s="291"/>
      <c r="P64" s="332">
        <f>INVESTMENT!P64</f>
        <v>328320</v>
      </c>
      <c r="Q64" s="331">
        <f>INVESTMENT!Q64</f>
        <v>189753.60000000001</v>
      </c>
      <c r="R64" s="333">
        <f>INVESTMENT!R64</f>
        <v>0.577953216374269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EU_DACH_EUR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Fixed Price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DACH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43435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EUR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SSA</v>
      </c>
      <c r="B14" s="190" t="str">
        <f>IF(BID!B14="","",BID!B14)</f>
        <v>BSW v9</v>
      </c>
      <c r="C14" s="137"/>
      <c r="D14" s="401">
        <f>IF(BID!D14="","",BID!D14)</f>
        <v>1</v>
      </c>
      <c r="E14" s="402">
        <f>IF(BID!E14="","",BID!E14)</f>
        <v>43374</v>
      </c>
      <c r="F14" s="402">
        <f>IF(BID!F14="","",BID!F14)</f>
        <v>43435</v>
      </c>
      <c r="G14" s="403">
        <f>IF(BID!G14="","",BID!G14)</f>
        <v>1</v>
      </c>
      <c r="H14" s="404">
        <f>IF(BID!H14="","",BID!H14)</f>
        <v>45</v>
      </c>
      <c r="I14" s="404">
        <f>IF(BID!I14="","",BID!I14)</f>
        <v>360</v>
      </c>
      <c r="J14" s="404">
        <f>IF(BID!J14="","",BID!J14)</f>
        <v>200</v>
      </c>
      <c r="K14" s="405">
        <f>IF(BID!K14="","",BID!K14)</f>
        <v>72000</v>
      </c>
      <c r="L14" s="217">
        <f>IF(BID!L14="","",BID!L14)</f>
        <v>74</v>
      </c>
      <c r="M14" s="405">
        <f>IF(BID!M14="","",BID!M14)</f>
        <v>26640</v>
      </c>
      <c r="N14" s="405">
        <f>IF(BID!N14="","",BID!N14)</f>
        <v>45360</v>
      </c>
      <c r="O14" s="217">
        <f>IF(BID!O14="","",BID!O14)</f>
        <v>18820</v>
      </c>
      <c r="P14" s="405">
        <f>IF(BID!P14="","",BID!P14)</f>
        <v>6775200</v>
      </c>
      <c r="Q14" s="405">
        <f>IF(BID!Q14="","",BID!Q14)</f>
        <v>6748560</v>
      </c>
      <c r="R14" s="406">
        <f>IF(BID!R14="","",BID!R14)</f>
        <v>0.9960680127523911</v>
      </c>
      <c r="S14" s="407">
        <f>IF(BID!S14="","",BID!S14)</f>
        <v>-93.1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-DACH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POLASAOFF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43374</v>
      </c>
      <c r="F15" s="402">
        <f>IF(BID!F15="","",BID!F15)</f>
        <v>43435</v>
      </c>
      <c r="G15" s="403">
        <f>IF(BID!G15="","",BID!G15)</f>
        <v>1</v>
      </c>
      <c r="H15" s="404">
        <f>IF(BID!H15="","",BID!H15)</f>
        <v>45</v>
      </c>
      <c r="I15" s="404">
        <f>IF(BID!I15="","",BID!I15)</f>
        <v>360</v>
      </c>
      <c r="J15" s="404">
        <f>IF(BID!J15="","",BID!J15)</f>
        <v>42</v>
      </c>
      <c r="K15" s="405">
        <f>IF(BID!K15="","",BID!K15)</f>
        <v>15120</v>
      </c>
      <c r="L15" s="217">
        <f>IF(BID!L15="","",BID!L15)</f>
        <v>17</v>
      </c>
      <c r="M15" s="405">
        <f>IF(BID!M15="","",BID!M15)</f>
        <v>6120</v>
      </c>
      <c r="N15" s="405">
        <f>IF(BID!N15="","",BID!N15)</f>
        <v>9000</v>
      </c>
      <c r="O15" s="217">
        <f>IF(BID!O15="","",BID!O15)</f>
        <v>7100</v>
      </c>
      <c r="P15" s="405">
        <f>IF(BID!P15="","",BID!P15)</f>
        <v>2556000</v>
      </c>
      <c r="Q15" s="405">
        <f>IF(BID!Q15="","",BID!Q15)</f>
        <v>2549880</v>
      </c>
      <c r="R15" s="406">
        <f>IF(BID!R15="","",BID!R15)</f>
        <v>0.99760563380281686</v>
      </c>
      <c r="S15" s="407">
        <f>IF(BID!S15="","",BID!S15)</f>
        <v>-168.04761904761904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 t="str">
        <f>IF(BID!G16="","",BID!G16)</f>
        <v/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 t="str">
        <f>IF(BID!O16="","",BID!O16)</f>
        <v/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 t="str">
        <f>IF(BID!O17="","",BID!O17)</f>
        <v/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 t="str">
        <f>IF(BID!O18="","",BID!O18)</f>
        <v/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-DACH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-DACH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-DACH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-DACH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-DACH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-DACH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-DACH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-DACH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-DACH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90</v>
      </c>
      <c r="I32" s="412">
        <f>SUM(I14:I31)</f>
        <v>720</v>
      </c>
      <c r="J32" s="33"/>
      <c r="K32" s="413">
        <f>SUM(K14:K31)</f>
        <v>87120</v>
      </c>
      <c r="L32" s="215"/>
      <c r="M32" s="215">
        <f>SUM(M14:M31)</f>
        <v>32760</v>
      </c>
      <c r="N32" s="413">
        <f>SUM(N14:N31)</f>
        <v>54360</v>
      </c>
      <c r="P32" s="215">
        <f>SUM(P14:P31)</f>
        <v>9331200</v>
      </c>
      <c r="Q32" s="413">
        <f>SUM(Q14:Q31)</f>
        <v>9298440</v>
      </c>
      <c r="R32" s="414">
        <f>IF(H32=0,"",Q32/P32)</f>
        <v>0.99648919753086418</v>
      </c>
      <c r="S32" s="51">
        <f>IF(H32=0,"",1-P32/K32)</f>
        <v>-106.10743801652893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-DACH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-DACH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-DACH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-DACH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-DACH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-DACH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-DACH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6.75</v>
      </c>
      <c r="I45" s="422">
        <f>BID!I45</f>
        <v>54</v>
      </c>
      <c r="J45" s="33"/>
      <c r="K45" s="421">
        <f>BID!K45</f>
        <v>10890</v>
      </c>
      <c r="L45" s="215"/>
      <c r="M45" s="421">
        <f>BID!M45</f>
        <v>4095</v>
      </c>
      <c r="N45" s="421">
        <f>BID!N45</f>
        <v>6795</v>
      </c>
      <c r="P45" s="421">
        <f>BID!P45</f>
        <v>1166400</v>
      </c>
      <c r="Q45" s="421">
        <f>BID!Q45</f>
        <v>1162305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>
        <f>BID!R45</f>
        <v>0.99648919753086418</v>
      </c>
      <c r="S47" s="414">
        <f>BID!S45</f>
        <v>-106.10743801652893</v>
      </c>
    </row>
    <row r="48" spans="1:148" x14ac:dyDescent="0.2">
      <c r="A48" s="388" t="s">
        <v>141</v>
      </c>
      <c r="H48" s="421">
        <f>BID!H48</f>
        <v>96.75</v>
      </c>
      <c r="I48" s="422">
        <f>BID!I48</f>
        <v>774</v>
      </c>
      <c r="J48" s="33"/>
      <c r="K48" s="421">
        <f>BID!K48</f>
        <v>98010</v>
      </c>
      <c r="L48" s="215"/>
      <c r="M48" s="421">
        <f>BID!M48</f>
        <v>36855</v>
      </c>
      <c r="N48" s="421">
        <f>BID!N48</f>
        <v>61155</v>
      </c>
      <c r="P48" s="421">
        <f>BID!P48</f>
        <v>10497600</v>
      </c>
      <c r="Q48" s="421">
        <f>BID!Q48</f>
        <v>10460745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96.75</v>
      </c>
      <c r="I59" s="412">
        <f>I48+I56</f>
        <v>774</v>
      </c>
      <c r="J59" s="33"/>
      <c r="K59" s="413">
        <f>K48</f>
        <v>98010</v>
      </c>
      <c r="L59" s="215"/>
      <c r="M59" s="215">
        <f>M48+M58</f>
        <v>36855</v>
      </c>
      <c r="N59" s="413">
        <f>N48</f>
        <v>61155</v>
      </c>
      <c r="P59" s="215">
        <f>P48+P58</f>
        <v>10497600</v>
      </c>
      <c r="Q59" s="413">
        <f>Q48</f>
        <v>10460745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10497600</v>
      </c>
      <c r="Q61" s="67">
        <f>P61-M59</f>
        <v>10460745</v>
      </c>
      <c r="R61" s="414">
        <f>BID!R59</f>
        <v>0.99648919753086418</v>
      </c>
      <c r="S61" s="414">
        <f>BID!S59</f>
        <v>-106.10743801652893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91.912499999999994</v>
      </c>
      <c r="I63" s="412">
        <f>I59*(1-$G$8)</f>
        <v>735.3</v>
      </c>
      <c r="J63" s="33"/>
      <c r="K63" s="413">
        <f>K59*(1-$G$8)</f>
        <v>93109.5</v>
      </c>
      <c r="L63" s="215"/>
      <c r="M63" s="215">
        <f>M59*(1-$G$8)</f>
        <v>35012.25</v>
      </c>
      <c r="N63" s="413">
        <f>N59*(1-$G$8)</f>
        <v>58097.25</v>
      </c>
      <c r="O63" s="386"/>
      <c r="P63" s="215">
        <f>P59*(1-$G$8)</f>
        <v>9972720</v>
      </c>
      <c r="Q63" s="413">
        <f>Q59*(1-$G$8)</f>
        <v>9937707.75</v>
      </c>
      <c r="R63" s="414">
        <f>IF(ISBLANK(A63),"",IF(P63&gt;0,Q63/P63,0))</f>
        <v>0.99648919753086418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116.1</v>
      </c>
      <c r="I64" s="412">
        <f>I59*(1+$G$9)</f>
        <v>928.8</v>
      </c>
      <c r="J64" s="33"/>
      <c r="K64" s="413">
        <f>K59*(1+$G$9)</f>
        <v>117612</v>
      </c>
      <c r="L64" s="215"/>
      <c r="M64" s="215">
        <f>M59*(1+$G$9)</f>
        <v>44226</v>
      </c>
      <c r="N64" s="413">
        <f>N59*(1+$G$9)</f>
        <v>73386</v>
      </c>
      <c r="O64" s="386"/>
      <c r="P64" s="215">
        <f>P59*(1+$G$9)</f>
        <v>12597120</v>
      </c>
      <c r="Q64" s="413">
        <f>Q59*(1+$G$9)</f>
        <v>12552894</v>
      </c>
      <c r="R64" s="414">
        <f>IF(ISBLANK(A64),"",IF(P64&gt;0,Q64/P64,0))</f>
        <v>0.99648919753086418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O14" sqref="O14:O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EU_DACH_EUR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DACH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v>43435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268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EUR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215</v>
      </c>
      <c r="B14" s="156" t="s">
        <v>265</v>
      </c>
      <c r="C14" s="86"/>
      <c r="D14" s="372">
        <v>1</v>
      </c>
      <c r="E14" s="157">
        <v>43374</v>
      </c>
      <c r="F14" s="157">
        <v>43435</v>
      </c>
      <c r="G14" s="158">
        <v>1</v>
      </c>
      <c r="H14" s="159">
        <f>IF(D14&gt;0,IF(ISBLANK(A14),"",(NETWORKDAYS(E14,F14)*G14)*D14),"")</f>
        <v>45</v>
      </c>
      <c r="I14" s="160">
        <f t="shared" ref="I14:I31" si="0">IF(ISBLANK(A14),"",H14*$B$9)</f>
        <v>360</v>
      </c>
      <c r="J14" s="172">
        <f>IF(ISBLANK(A14),"",VLOOKUP(A14,gsrates!$A$3:$AK$38,VLOOKUP($B$5,gsrates!$A$41:$C$58,2,FALSE),FALSE))</f>
        <v>200</v>
      </c>
      <c r="K14" s="79">
        <f t="shared" ref="K14:K31" si="1">IF(ISBLANK(A14),"",I14*J14)</f>
        <v>72000</v>
      </c>
      <c r="L14" s="203">
        <f>IF(ISBLANK(A14),"",VLOOKUP(A14,gsrates!$A$3:$AK$38,VLOOKUP($B$5,gsrates!$A$41:$C$58,3,FALSE),FALSE))</f>
        <v>74</v>
      </c>
      <c r="M14" s="203">
        <f t="shared" ref="M14:M31" si="2">IF(ISBLANK(A14),"",L14*H14*8)</f>
        <v>26640</v>
      </c>
      <c r="N14" s="79">
        <f t="shared" ref="N14:N31" si="3">IF(ISBLANK(A14),"",K14-M14)</f>
        <v>45360</v>
      </c>
      <c r="O14" s="173">
        <v>18820</v>
      </c>
      <c r="P14" s="203">
        <f t="shared" ref="P14:P31" si="4">IF(ISBLANK(A14),"",H14*O14*$B$9)</f>
        <v>6775200</v>
      </c>
      <c r="Q14" s="79">
        <f t="shared" ref="Q14:Q31" si="5">IF(ISBLANK(A14),"",P14-M14)</f>
        <v>6748560</v>
      </c>
      <c r="R14" s="151">
        <f t="shared" ref="R14:R31" si="6">IF(ISBLANK(A14),"",Q14/P14)</f>
        <v>0.9960680127523911</v>
      </c>
      <c r="S14" s="162">
        <f t="shared" ref="S14:S31" si="7">IF(ISBLANK(A14),"",1-P14/K14)</f>
        <v>-93.1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-DACH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237</v>
      </c>
      <c r="B15" s="156"/>
      <c r="C15" s="86"/>
      <c r="D15" s="372">
        <v>1</v>
      </c>
      <c r="E15" s="157">
        <v>43374</v>
      </c>
      <c r="F15" s="157">
        <v>43435</v>
      </c>
      <c r="G15" s="158">
        <v>1</v>
      </c>
      <c r="H15" s="159">
        <f>IF(D15&gt;0,(IF(ISBLANK(A15),"",NETWORKDAYS(E15,F15)*G15)*D15),"")</f>
        <v>45</v>
      </c>
      <c r="I15" s="160">
        <f t="shared" si="0"/>
        <v>360</v>
      </c>
      <c r="J15" s="172">
        <f>IF(ISBLANK(A15),"",VLOOKUP(A15,gsrates!$A$3:$AK$38,VLOOKUP($B$5,gsrates!$A$41:$C$58,2,FALSE),FALSE))</f>
        <v>42</v>
      </c>
      <c r="K15" s="79">
        <f t="shared" si="1"/>
        <v>15120</v>
      </c>
      <c r="L15" s="203">
        <f>IF(ISBLANK(A15),"",VLOOKUP(A15,gsrates!$A$3:$AK$38,VLOOKUP($B$5,gsrates!$A$41:$C$58,3,FALSE),FALSE))</f>
        <v>17</v>
      </c>
      <c r="M15" s="203">
        <f t="shared" si="2"/>
        <v>6120</v>
      </c>
      <c r="N15" s="79">
        <f t="shared" si="3"/>
        <v>9000</v>
      </c>
      <c r="O15" s="173">
        <v>7100</v>
      </c>
      <c r="P15" s="203">
        <f t="shared" si="4"/>
        <v>2556000</v>
      </c>
      <c r="Q15" s="79">
        <f t="shared" si="5"/>
        <v>2549880</v>
      </c>
      <c r="R15" s="151">
        <f t="shared" si="6"/>
        <v>0.99760563380281686</v>
      </c>
      <c r="S15" s="162">
        <f t="shared" si="7"/>
        <v>-168.04761904761904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/>
      <c r="H16" s="159" t="str">
        <f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2"/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>IF(D17&gt;0,(IF(ISBLANK(A17),"",NETWORKDAYS(E17,F17)*G17)*D17),"")</f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/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ref="H18:H30" si="10">IF(D18&gt;0,(IF(ISBLANK(A18),"",NETWORKDAYS(E18,F18)*G18)*D18),"")</f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/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90</v>
      </c>
      <c r="I32" s="9">
        <f>SUM(I14:I31)</f>
        <v>720</v>
      </c>
      <c r="J32" s="31"/>
      <c r="K32" s="36">
        <f>SUM(K14:K31)</f>
        <v>87120</v>
      </c>
      <c r="L32" s="205"/>
      <c r="M32" s="205">
        <f>SUM(M14:M31)</f>
        <v>32760</v>
      </c>
      <c r="N32" s="36">
        <f>SUM(N14:N31)</f>
        <v>54360</v>
      </c>
      <c r="O32" s="33"/>
      <c r="P32" s="205">
        <f>SUM(P14:P31)</f>
        <v>9331200</v>
      </c>
      <c r="Q32" s="36">
        <f>SUM(Q14:Q31)</f>
        <v>9298440</v>
      </c>
      <c r="R32" s="15">
        <f>IF(H32=0,"",Q32/P32)</f>
        <v>0.99648919753086418</v>
      </c>
      <c r="S32" s="8">
        <f>IF(H32=0,"",1-P32/K32)</f>
        <v>-106.10743801652893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6.75</v>
      </c>
      <c r="I45" s="448">
        <f>IF(ISBLANK($B$6),0,H45*$B$9)</f>
        <v>54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10890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4095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6795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1166400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1162305</v>
      </c>
      <c r="R45" s="15">
        <f>IF(H45=0,"",Q45/P45)</f>
        <v>0.99648919753086418</v>
      </c>
      <c r="S45" s="8">
        <f>IF(H45=0,"",1-P45/K45)</f>
        <v>-106.10743801652893</v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96.75</v>
      </c>
      <c r="I48" s="448">
        <f>IF(ISBLANK($B$6),0,H48*$B$9)</f>
        <v>774</v>
      </c>
      <c r="J48" s="33"/>
      <c r="K48" s="17">
        <f>K32+K43+K45+K46+K47</f>
        <v>98010</v>
      </c>
      <c r="L48" s="205"/>
      <c r="M48" s="17">
        <f>M32+M43+M45+M46+M47</f>
        <v>36855</v>
      </c>
      <c r="N48" s="17">
        <f>N32+N43+N45+N47+N58+N46</f>
        <v>61155</v>
      </c>
      <c r="P48" s="17">
        <f>P32+P43+P45+P46+P47</f>
        <v>10497600</v>
      </c>
      <c r="Q48" s="17">
        <f>Q32+Q43+Q45+Q47+Q58+Q46</f>
        <v>10460745</v>
      </c>
      <c r="R48" s="15">
        <f>IF(ISBLANK(A48),"",IF(P48&gt;0,Q48/P48,0))</f>
        <v>0.99648919753086418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96.75</v>
      </c>
      <c r="I59" s="9">
        <f>I48+I56</f>
        <v>774</v>
      </c>
      <c r="J59" s="31"/>
      <c r="K59" s="36">
        <f>K48</f>
        <v>98010</v>
      </c>
      <c r="L59" s="205"/>
      <c r="M59" s="205">
        <f>M48+M58</f>
        <v>36855</v>
      </c>
      <c r="N59" s="36">
        <f>N48</f>
        <v>61155</v>
      </c>
      <c r="O59" s="33"/>
      <c r="P59" s="205">
        <f>P48+P58</f>
        <v>10497600</v>
      </c>
      <c r="Q59" s="36">
        <f>Q48</f>
        <v>10460745</v>
      </c>
      <c r="R59" s="15">
        <f>IF(ISBLANK(A59),"",IF(P59&gt;0,Q59/P59,0))</f>
        <v>0.99648919753086418</v>
      </c>
      <c r="S59" s="8">
        <f>IF(ISBLANK(A59),"",IF(K59&gt;0,1-P59/K59,1))</f>
        <v>-106.10743801652893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10497600</v>
      </c>
      <c r="Q61" s="43">
        <f>P61-M59</f>
        <v>10460745</v>
      </c>
      <c r="R61" s="44">
        <f>IF(ISBLANK(A61),"",IF(P61&gt;0,Q61/P61,0))</f>
        <v>0.99648919753086418</v>
      </c>
      <c r="S61" s="45">
        <f>IF(ISBLANK(A61),"",IF(K59&gt;0,1-P61/K59,1))</f>
        <v>-106.10743801652893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91.912499999999994</v>
      </c>
      <c r="I63" s="9">
        <f>I59*(1-$G$8)</f>
        <v>735.3</v>
      </c>
      <c r="J63" s="31"/>
      <c r="K63" s="36">
        <f>K59*(1-$G$8)</f>
        <v>93109.5</v>
      </c>
      <c r="L63" s="205"/>
      <c r="M63" s="205">
        <f>M59*(1-$G$8)</f>
        <v>35012.25</v>
      </c>
      <c r="N63" s="36">
        <f>N59*(1-$G$8)</f>
        <v>58097.25</v>
      </c>
      <c r="O63" s="49"/>
      <c r="P63" s="205">
        <f>P59*(1-$G$8)</f>
        <v>9972720</v>
      </c>
      <c r="Q63" s="36">
        <f>Q59*(1-$G$8)</f>
        <v>9937707.75</v>
      </c>
      <c r="R63" s="15">
        <f>IF(ISBLANK(A63),"",IF(P63&gt;0,Q63/P63,0))</f>
        <v>0.99648919753086418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116.1</v>
      </c>
      <c r="I64" s="9">
        <f>I59*(1+$G$9)</f>
        <v>928.8</v>
      </c>
      <c r="J64" s="31"/>
      <c r="K64" s="36">
        <f>K59*(1+$G$9)</f>
        <v>117612</v>
      </c>
      <c r="L64" s="205"/>
      <c r="M64" s="205">
        <f>M59*(1+$G$9)</f>
        <v>44226</v>
      </c>
      <c r="N64" s="36">
        <f>N59*(1+$G$9)</f>
        <v>73386</v>
      </c>
      <c r="O64" s="49"/>
      <c r="P64" s="205">
        <f>P59*(1+$G$9)</f>
        <v>12597120</v>
      </c>
      <c r="Q64" s="36">
        <f>Q59*(1+$G$9)</f>
        <v>12552894</v>
      </c>
      <c r="R64" s="15">
        <f>IF(ISBLANK(A64),"",IF(P64&gt;0,Q64/P64,0))</f>
        <v>0.99648919753086418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51 G14:G3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B80" sqref="B8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EU_DACH_EUR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DACH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EUR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250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125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-DACH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225</v>
      </c>
      <c r="J15" s="79">
        <f t="shared" si="2"/>
        <v>0</v>
      </c>
      <c r="K15" s="203">
        <f>IF(ISBLANK(A15),"",VLOOKUP(A15,gsrates!$A$3:$AK$38,VLOOKUP($B$5,gsrates!$A$41:$C$58,3,FALSE),FALSE))</f>
        <v>86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-DACH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225</v>
      </c>
      <c r="J16" s="79">
        <f t="shared" si="2"/>
        <v>0</v>
      </c>
      <c r="K16" s="203">
        <f>IF(ISBLANK(A16),"",VLOOKUP(A16,gsrates!$A$3:$AK$38,VLOOKUP($B$5,gsrates!$A$41:$C$58,3,FALSE),FALSE))</f>
        <v>120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-DACH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225</v>
      </c>
      <c r="J17" s="79">
        <f t="shared" si="2"/>
        <v>0</v>
      </c>
      <c r="K17" s="203">
        <f>IF(ISBLANK(A17),"",VLOOKUP(A17,gsrates!$A$3:$AK$38,VLOOKUP($B$5,gsrates!$A$41:$C$58,3,FALSE),FALSE))</f>
        <v>120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-DACH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225</v>
      </c>
      <c r="J18" s="79">
        <f t="shared" si="2"/>
        <v>0</v>
      </c>
      <c r="K18" s="203">
        <f>IF(ISBLANK(A18),"",VLOOKUP(A18,gsrates!$A$3:$AK$38,VLOOKUP($B$5,gsrates!$A$41:$C$58,3,FALSE),FALSE))</f>
        <v>59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-DACH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225</v>
      </c>
      <c r="J19" s="79">
        <f t="shared" si="2"/>
        <v>0</v>
      </c>
      <c r="K19" s="203">
        <f>IF(ISBLANK(A19),"",VLOOKUP(A19,gsrates!$A$3:$AK$38,VLOOKUP($B$5,gsrates!$A$41:$C$58,3,FALSE),FALSE))</f>
        <v>80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-DACH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200</v>
      </c>
      <c r="J20" s="79">
        <f t="shared" si="2"/>
        <v>0</v>
      </c>
      <c r="K20" s="203">
        <f>IF(ISBLANK(A20),"",VLOOKUP(A20,gsrates!$A$3:$AK$38,VLOOKUP($B$5,gsrates!$A$41:$C$58,3,FALSE),FALSE))</f>
        <v>74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-DACH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200</v>
      </c>
      <c r="J21" s="79">
        <f t="shared" si="2"/>
        <v>0</v>
      </c>
      <c r="K21" s="203">
        <f>IF(ISBLANK(A21),"",VLOOKUP(A21,gsrates!$A$3:$AK$38,VLOOKUP($B$5,gsrates!$A$41:$C$58,3,FALSE),FALSE))</f>
        <v>70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-DACH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150</v>
      </c>
      <c r="J22" s="79">
        <f t="shared" si="2"/>
        <v>0</v>
      </c>
      <c r="K22" s="203">
        <f>IF(ISBLANK(A22),"",VLOOKUP(A22,gsrates!$A$3:$AK$38,VLOOKUP($B$5,gsrates!$A$41:$C$58,3,FALSE),FALSE))</f>
        <v>55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-DACH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85</v>
      </c>
      <c r="J23" s="79">
        <f t="shared" si="2"/>
        <v>0</v>
      </c>
      <c r="K23" s="203">
        <f>IF(ISBLANK(A23),"",VLOOKUP(A23,gsrates!$A$3:$AK$38,VLOOKUP($B$5,gsrates!$A$41:$C$58,3,FALSE),FALSE))</f>
        <v>35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225</v>
      </c>
      <c r="J24" s="79">
        <f t="shared" si="2"/>
        <v>0</v>
      </c>
      <c r="K24" s="203">
        <f>IF(ISBLANK(A24),"",VLOOKUP(A24,gsrates!$A$3:$AK$38,VLOOKUP($B$5,gsrates!$A$41:$C$58,3,FALSE),FALSE))</f>
        <v>120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-DACH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225</v>
      </c>
      <c r="J25" s="79">
        <f t="shared" si="2"/>
        <v>0</v>
      </c>
      <c r="K25" s="203">
        <f>IF(ISBLANK(A25),"",VLOOKUP(A25,gsrates!$A$3:$AK$38,VLOOKUP($B$5,gsrates!$A$41:$C$58,3,FALSE),FALSE))</f>
        <v>74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-DACH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200</v>
      </c>
      <c r="J26" s="79">
        <f t="shared" si="2"/>
        <v>0</v>
      </c>
      <c r="K26" s="203">
        <f>IF(ISBLANK(A26),"",VLOOKUP(A26,gsrates!$A$3:$AK$38,VLOOKUP($B$5,gsrates!$A$41:$C$58,3,FALSE),FALSE))</f>
        <v>71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-DACH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150</v>
      </c>
      <c r="J27" s="79">
        <f t="shared" si="2"/>
        <v>0</v>
      </c>
      <c r="K27" s="203">
        <f>IF(ISBLANK(A27),"",VLOOKUP(A27,gsrates!$A$3:$AK$38,VLOOKUP($B$5,gsrates!$A$41:$C$58,3,FALSE),FALSE))</f>
        <v>55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-DACH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225</v>
      </c>
      <c r="J28" s="79">
        <f t="shared" si="2"/>
        <v>0</v>
      </c>
      <c r="K28" s="203">
        <f>IF(ISBLANK(A28),"",VLOOKUP(A28,gsrates!$A$3:$AK$38,VLOOKUP($B$5,gsrates!$A$41:$C$58,3,FALSE),FALSE))</f>
        <v>74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225</v>
      </c>
      <c r="J29" s="79">
        <f t="shared" si="2"/>
        <v>0</v>
      </c>
      <c r="K29" s="203">
        <f>IF(ISBLANK(A29),"",VLOOKUP(A29,gsrates!$A$3:$AK$38,VLOOKUP($B$5,gsrates!$A$41:$C$58,3,FALSE),FALSE))</f>
        <v>120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225</v>
      </c>
      <c r="J30" s="79">
        <f t="shared" si="2"/>
        <v>0</v>
      </c>
      <c r="K30" s="203">
        <f>IF(ISBLANK(A30),"",VLOOKUP(A30,gsrates!$A$3:$AK$38,VLOOKUP($B$5,gsrates!$A$41:$C$58,3,FALSE),FALSE))</f>
        <v>65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-DACH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225</v>
      </c>
      <c r="J31" s="79">
        <f t="shared" si="2"/>
        <v>0</v>
      </c>
      <c r="K31" s="203">
        <f>IF(ISBLANK(A31),"",VLOOKUP(A31,gsrates!$A$3:$AK$38,VLOOKUP($B$5,gsrates!$A$41:$C$58,3,FALSE),FALSE))</f>
        <v>65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225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74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225</v>
      </c>
      <c r="J33" s="79">
        <f t="shared" si="12"/>
        <v>0</v>
      </c>
      <c r="K33" s="203">
        <f>IF(ISBLANK(A33),"",VLOOKUP(A33,gsrates!$A$3:$AK$38,VLOOKUP($B$5,gsrates!$A$41:$C$58,3,FALSE),FALSE))</f>
        <v>74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225</v>
      </c>
      <c r="J34" s="79">
        <f t="shared" si="12"/>
        <v>0</v>
      </c>
      <c r="K34" s="203">
        <f>IF(ISBLANK(A34),"",VLOOKUP(A34,gsrates!$A$3:$AK$38,VLOOKUP($B$5,gsrates!$A$41:$C$58,3,FALSE),FALSE))</f>
        <v>74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148</v>
      </c>
      <c r="J35" s="79">
        <f t="shared" si="12"/>
        <v>0</v>
      </c>
      <c r="K35" s="203">
        <f>IF(ISBLANK(A35),"",VLOOKUP(A35,gsrates!$A$3:$AK$38,VLOOKUP($B$5,gsrates!$A$41:$C$58,3,FALSE),FALSE))</f>
        <v>36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110</v>
      </c>
      <c r="J36" s="79">
        <f t="shared" si="12"/>
        <v>0</v>
      </c>
      <c r="K36" s="203">
        <f>IF(ISBLANK(A36),"",VLOOKUP(A36,gsrates!$A$3:$AK$38,VLOOKUP($B$5,gsrates!$A$41:$C$58,3,FALSE),FALSE))</f>
        <v>32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79</v>
      </c>
      <c r="J37" s="79">
        <f t="shared" si="12"/>
        <v>0</v>
      </c>
      <c r="K37" s="203">
        <f>IF(ISBLANK(A37),"",VLOOKUP(A37,gsrates!$A$3:$AK$38,VLOOKUP($B$5,gsrates!$A$41:$C$58,3,FALSE),FALSE))</f>
        <v>22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112</v>
      </c>
      <c r="J38" s="79">
        <f t="shared" si="12"/>
        <v>0</v>
      </c>
      <c r="K38" s="203">
        <f>IF(ISBLANK(A38),"",VLOOKUP(A38,gsrates!$A$3:$AK$38,VLOOKUP($B$5,gsrates!$A$41:$C$58,3,FALSE),FALSE))</f>
        <v>36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75</v>
      </c>
      <c r="J39" s="79">
        <f t="shared" si="12"/>
        <v>0</v>
      </c>
      <c r="K39" s="203">
        <f>IF(ISBLANK(A39),"",VLOOKUP(A39,gsrates!$A$3:$AK$38,VLOOKUP($B$5,gsrates!$A$41:$C$58,3,FALSE),FALSE))</f>
        <v>32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56</v>
      </c>
      <c r="J40" s="79">
        <f t="shared" si="12"/>
        <v>0</v>
      </c>
      <c r="K40" s="203">
        <f>IF(ISBLANK(A40),"",VLOOKUP(A40,gsrates!$A$3:$AK$38,VLOOKUP($B$5,gsrates!$A$41:$C$58,3,FALSE),FALSE))</f>
        <v>22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80</v>
      </c>
      <c r="J41" s="79">
        <f t="shared" si="12"/>
        <v>0</v>
      </c>
      <c r="K41" s="203">
        <f>IF(ISBLANK(A41),"",VLOOKUP(A41,gsrates!$A$3:$AK$38,VLOOKUP($B$5,gsrates!$A$41:$C$58,3,FALSE),FALSE))</f>
        <v>51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49</v>
      </c>
      <c r="J42" s="79">
        <f t="shared" si="12"/>
        <v>0</v>
      </c>
      <c r="K42" s="203">
        <f>IF(ISBLANK(A42),"",VLOOKUP(A42,gsrates!$A$3:$AK$38,VLOOKUP($B$5,gsrates!$A$41:$C$58,3,FALSE),FALSE))</f>
        <v>16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67</v>
      </c>
      <c r="J43" s="79">
        <f t="shared" si="12"/>
        <v>0</v>
      </c>
      <c r="K43" s="203">
        <f>IF(ISBLANK(A43),"",VLOOKUP(A43,gsrates!$A$3:$AK$38,VLOOKUP($B$5,gsrates!$A$41:$C$58,3,FALSE),FALSE))</f>
        <v>35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45</v>
      </c>
      <c r="J44" s="79">
        <f t="shared" si="12"/>
        <v>0</v>
      </c>
      <c r="K44" s="203">
        <f>IF(ISBLANK(A44),"",VLOOKUP(A44,gsrates!$A$3:$AK$38,VLOOKUP($B$5,gsrates!$A$41:$C$58,3,FALSE),FALSE))</f>
        <v>18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36</v>
      </c>
      <c r="J45" s="79">
        <f t="shared" si="12"/>
        <v>0</v>
      </c>
      <c r="K45" s="203">
        <f>IF(ISBLANK(A45),"",VLOOKUP(A45,gsrates!$A$3:$AK$38,VLOOKUP($B$5,gsrates!$A$41:$C$58,3,FALSE),FALSE))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31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67</v>
      </c>
      <c r="J47" s="81">
        <f>IF(ISBLANK(A47),"",H47*I47)</f>
        <v>0</v>
      </c>
      <c r="K47" s="204">
        <f>IF(ISBLANK(A47),"",VLOOKUP(A47,gsrates!$A$3:$AK$38,VLOOKUP($B$5,gsrates!$A$41:$C$58,3,FALSE),FALSE))</f>
        <v>35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-DACH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B52" activePane="bottomRight" state="frozen"/>
      <selection pane="topRight" activeCell="B1" sqref="B1"/>
      <selection pane="bottomLeft" activeCell="A3" sqref="A3"/>
      <selection pane="bottomRight" activeCell="K101" sqref="K101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247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EU_DACH_EUR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DACH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43219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EUR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43219</v>
      </c>
      <c r="F15" s="157">
        <v>43313</v>
      </c>
      <c r="G15" s="158">
        <v>1</v>
      </c>
      <c r="H15" s="159">
        <f t="shared" ref="H15:H31" si="0">IF(ISBLANK(A15),"",NETWORKDAYS(E15,F15)*G15)</f>
        <v>68</v>
      </c>
      <c r="I15" s="160">
        <f t="shared" ref="I15:I31" si="1">IF(ISBLANK(A15),"",H15*$B$10)</f>
        <v>544</v>
      </c>
      <c r="J15" s="172">
        <f>IF(ISBLANK(A15),"",VLOOKUP(A15,gsrates!$A$3:$AK$38,VLOOKUP($B$6,gsrates!$A$41:$C$58,2,FALSE),FALSE))</f>
        <v>250</v>
      </c>
      <c r="K15" s="79">
        <f t="shared" ref="K15:K31" si="2">IF(ISBLANK(A15),"",I15*J15)</f>
        <v>136000</v>
      </c>
      <c r="L15" s="203">
        <f>IF(ISBLANK(A15),"",VLOOKUP(A15,gsrates!$A$3:$AK$38,VLOOKUP($B$6,gsrates!$A$41:$C$58,3,FALSE),FALSE))</f>
        <v>125</v>
      </c>
      <c r="M15" s="203">
        <f t="shared" ref="M15:M31" si="3">IF(ISBLANK(A15),"",L15*H15*8)</f>
        <v>68000</v>
      </c>
      <c r="N15" s="79">
        <f t="shared" ref="N15:N31" si="4">IF(ISBLANK(A15),"",K15-M15)</f>
        <v>68000</v>
      </c>
      <c r="O15" s="173">
        <v>300</v>
      </c>
      <c r="P15" s="203">
        <f t="shared" ref="P15:P31" si="5">IF(ISBLANK(A15),"",H15*O15*$B$10)</f>
        <v>163200</v>
      </c>
      <c r="Q15" s="79">
        <f t="shared" ref="Q15:Q31" si="6">IF(ISBLANK(A15),"",P15-M15)</f>
        <v>95200</v>
      </c>
      <c r="R15" s="151">
        <f t="shared" ref="R15:R31" si="7">IF(ISBLANK(A15),"",Q15/P15)</f>
        <v>0.58333333333333337</v>
      </c>
      <c r="S15" s="162">
        <f t="shared" ref="S15:S31" si="8">IF(ISBLANK(A15),"",1-P15/K15)</f>
        <v>-0.19999999999999996</v>
      </c>
      <c r="T15" s="41"/>
      <c r="U15" s="41" t="str">
        <f t="shared" ref="U15:U31" si="9">IF(ISBLANK(A15),"",CONCATENATE(C15,"-",$B$6))</f>
        <v>-DACH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43219</v>
      </c>
      <c r="F16" s="157">
        <v>43314</v>
      </c>
      <c r="G16" s="158">
        <v>1</v>
      </c>
      <c r="H16" s="159">
        <f t="shared" si="0"/>
        <v>69</v>
      </c>
      <c r="I16" s="160">
        <f t="shared" si="1"/>
        <v>552</v>
      </c>
      <c r="J16" s="172">
        <f>IF(ISBLANK(A16),"",VLOOKUP(A16,gsrates!$A$3:$AK$38,VLOOKUP($B$6,gsrates!$A$41:$C$58,2,FALSE),FALSE))</f>
        <v>225</v>
      </c>
      <c r="K16" s="79">
        <f t="shared" si="2"/>
        <v>124200</v>
      </c>
      <c r="L16" s="203">
        <f>IF(ISBLANK(A16),"",VLOOKUP(A16,gsrates!$A$3:$AK$38,VLOOKUP($B$6,gsrates!$A$41:$C$58,3,FALSE),FALSE))</f>
        <v>86</v>
      </c>
      <c r="M16" s="203">
        <f t="shared" si="3"/>
        <v>47472</v>
      </c>
      <c r="N16" s="79">
        <f t="shared" si="4"/>
        <v>76728</v>
      </c>
      <c r="O16" s="173">
        <v>200</v>
      </c>
      <c r="P16" s="203">
        <f t="shared" si="5"/>
        <v>110400</v>
      </c>
      <c r="Q16" s="79">
        <f t="shared" si="6"/>
        <v>62928</v>
      </c>
      <c r="R16" s="151">
        <f t="shared" si="7"/>
        <v>0.56999999999999995</v>
      </c>
      <c r="S16" s="162">
        <f t="shared" si="8"/>
        <v>0.11111111111111116</v>
      </c>
      <c r="T16" s="41"/>
      <c r="U16" s="41" t="str">
        <f t="shared" si="9"/>
        <v>-DACH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137</v>
      </c>
      <c r="I32" s="9">
        <f>SUM(I15:I31)</f>
        <v>1096</v>
      </c>
      <c r="J32" s="31"/>
      <c r="K32" s="36">
        <f>SUM(K15:K31)</f>
        <v>260200</v>
      </c>
      <c r="L32" s="205"/>
      <c r="M32" s="205">
        <f>SUM(M15:M31)</f>
        <v>115472</v>
      </c>
      <c r="N32" s="36">
        <f>SUM(N15:N31)</f>
        <v>144728</v>
      </c>
      <c r="O32" s="33"/>
      <c r="P32" s="205">
        <f>SUM(P15:P31)</f>
        <v>273600</v>
      </c>
      <c r="Q32" s="36">
        <f>SUM(Q15:Q31)</f>
        <v>158128</v>
      </c>
      <c r="R32" s="15">
        <f>IF(H32=0,"",Q32/P32)</f>
        <v>0.577953216374269</v>
      </c>
      <c r="S32" s="8">
        <f>IF(H32=0,"",1-P32/K32)</f>
        <v>-5.1498847040737816E-2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</v>
      </c>
      <c r="I48" s="17">
        <f>I32+I43+I45+I46+I47</f>
        <v>1096</v>
      </c>
      <c r="J48" s="33"/>
      <c r="K48" s="17">
        <f>K32+K43+K45+K46+K47</f>
        <v>260200</v>
      </c>
      <c r="L48" s="205"/>
      <c r="M48" s="17">
        <f>M32+M43+M45+M46+M47</f>
        <v>115472</v>
      </c>
      <c r="N48" s="17">
        <f>N32+N43+N45+N47+N58+N46</f>
        <v>144728</v>
      </c>
      <c r="P48" s="17">
        <f>P32+P43+P45+P46+P47</f>
        <v>273600</v>
      </c>
      <c r="Q48" s="17">
        <f>Q32+Q43+Q45+Q47+Q58+Q46</f>
        <v>158128</v>
      </c>
      <c r="R48" s="15">
        <f>IF(ISBLANK(A48),"",IF(P48&gt;0,Q48/P48,0))</f>
        <v>0.577953216374269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</v>
      </c>
      <c r="I59" s="9">
        <f>I48+I56</f>
        <v>1096</v>
      </c>
      <c r="J59" s="31"/>
      <c r="K59" s="36">
        <f>K48</f>
        <v>260200</v>
      </c>
      <c r="L59" s="205"/>
      <c r="M59" s="205">
        <f>M48+M58</f>
        <v>115472</v>
      </c>
      <c r="N59" s="36">
        <f>N48</f>
        <v>144728</v>
      </c>
      <c r="O59" s="33"/>
      <c r="P59" s="205">
        <f>P48+P58</f>
        <v>273600</v>
      </c>
      <c r="Q59" s="36">
        <f>Q48</f>
        <v>158128</v>
      </c>
      <c r="R59" s="15">
        <f>IF(ISBLANK(A59),"",IF(P59&gt;0,Q59/P59,0))</f>
        <v>0.577953216374269</v>
      </c>
      <c r="S59" s="8">
        <f>IF(ISBLANK(A59),"",IF(K59&gt;0,1-P59/K59,1))</f>
        <v>-5.1498847040737816E-2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273600</v>
      </c>
      <c r="Q61" s="43">
        <f>P61-M59</f>
        <v>158128</v>
      </c>
      <c r="R61" s="44">
        <f>IF(ISBLANK(A61),"",IF(P61&gt;0,Q61/P61,0))</f>
        <v>0.577953216374269</v>
      </c>
      <c r="S61" s="45">
        <f>IF(ISBLANK(A61),"",IF(K59&gt;0,1-P61/K59,1))</f>
        <v>-5.1498847040737816E-2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130.15</v>
      </c>
      <c r="I63" s="9">
        <f>I59*(1-$G$9)</f>
        <v>1041.2</v>
      </c>
      <c r="J63" s="31"/>
      <c r="K63" s="36">
        <f>K59*(1-$G$9)</f>
        <v>247190</v>
      </c>
      <c r="L63" s="205"/>
      <c r="M63" s="205">
        <f>M59*(1-$G$9)</f>
        <v>109698.4</v>
      </c>
      <c r="N63" s="36">
        <f>N59*(1-$G$9)</f>
        <v>137491.6</v>
      </c>
      <c r="O63" s="49"/>
      <c r="P63" s="205">
        <f>P59*(1-$G$9)</f>
        <v>259920</v>
      </c>
      <c r="Q63" s="36">
        <f>Q59*(1-$G$9)</f>
        <v>150221.6</v>
      </c>
      <c r="R63" s="15">
        <f>IF(ISBLANK(A63),"",IF(P63&gt;0,Q63/P63,0))</f>
        <v>0.577953216374269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164.4</v>
      </c>
      <c r="I64" s="9">
        <f>I59*(1+$G$10)</f>
        <v>1315.2</v>
      </c>
      <c r="J64" s="31"/>
      <c r="K64" s="36">
        <f>K59*(1+$G$10)</f>
        <v>312240</v>
      </c>
      <c r="L64" s="205"/>
      <c r="M64" s="205">
        <f>M59*(1+$G$10)</f>
        <v>138566.39999999999</v>
      </c>
      <c r="N64" s="36">
        <f>N59*(1+$G$10)</f>
        <v>173673.60000000001</v>
      </c>
      <c r="O64" s="49"/>
      <c r="P64" s="205">
        <f>P59*(1+$G$10)</f>
        <v>328320</v>
      </c>
      <c r="Q64" s="36">
        <f>Q59*(1+$G$10)</f>
        <v>189753.60000000001</v>
      </c>
      <c r="R64" s="15">
        <f>IF(ISBLANK(A64),"",IF(P64&gt;0,Q64/P64,0))</f>
        <v>0.577953216374269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K76" sqref="K7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2018-10-10T02:59:44Z</dcterms:modified>
</cp:coreProperties>
</file>
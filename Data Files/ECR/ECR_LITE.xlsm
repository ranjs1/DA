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0325" codeName="{A93C3448-2578-E12B-C58C-25EFAD1D314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nipin\Desktop\"/>
    </mc:Choice>
  </mc:AlternateContent>
  <xr:revisionPtr revIDLastSave="0" documentId="8_{BDE434CA-16FC-411C-963D-E0F78ADDB1D8}" xr6:coauthVersionLast="34" xr6:coauthVersionMax="34" xr10:uidLastSave="{00000000-0000-0000-0000-000000000000}"/>
  <bookViews>
    <workbookView xWindow="0" yWindow="0" windowWidth="23040" windowHeight="9075" tabRatio="881" xr2:uid="{00000000-000D-0000-FFFF-FFFF00000000}"/>
  </bookViews>
  <sheets>
    <sheet name="Summary" sheetId="14" r:id="rId1"/>
    <sheet name="TCP INVESTMENT" sheetId="38" state="hidden" r:id="rId2"/>
    <sheet name="TCP BID" sheetId="40" state="hidden" r:id="rId3"/>
    <sheet name="Non-Reimbursable Expenses" sheetId="16" r:id="rId4"/>
    <sheet name="Risks and Assumptions" sheetId="13" r:id="rId5"/>
    <sheet name="BID" sheetId="34" r:id="rId6"/>
    <sheet name="RATE CARD" sheetId="33" r:id="rId7"/>
    <sheet name="gsrates" sheetId="32" state="hidden" r:id="rId8"/>
    <sheet name="INVESTMENT" sheetId="39" r:id="rId9"/>
    <sheet name="RISK" sheetId="22" state="hidden" r:id="rId10"/>
    <sheet name="rates" sheetId="21" state="hidden" r:id="rId11"/>
  </sheets>
  <definedNames>
    <definedName name="Margin_Target">Summary!$J$5</definedName>
    <definedName name="_xlnm.Print_Area" localSheetId="5">BID!$A$1:$T$64</definedName>
    <definedName name="_xlnm.Print_Area" localSheetId="8">INVESTMENT!$A$1:$T$64</definedName>
    <definedName name="_xlnm.Print_Area" localSheetId="6">'RATE CARD'!$A$1:$S$80</definedName>
    <definedName name="_xlnm.Print_Area" localSheetId="0">Summary!$A$1:$K$27</definedName>
    <definedName name="_xlnm.Print_Area" localSheetId="2">'TCP BID'!$A$1:$T$64</definedName>
    <definedName name="_xlnm.Print_Area" localSheetId="1">'TCP INVESTMENT'!$A$1:$T$64</definedName>
  </definedNames>
  <calcPr calcId="179021"/>
  <extLs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AQ38" i="32" l="1"/>
  <c r="AO38" i="32"/>
  <c r="AN38" i="32"/>
  <c r="I38" i="32"/>
  <c r="H38" i="32"/>
  <c r="E38" i="32"/>
  <c r="D38" i="32"/>
  <c r="B14" i="14" l="1"/>
  <c r="T31" i="34" l="1"/>
  <c r="V31" i="34" s="1"/>
  <c r="T30" i="34"/>
  <c r="V30" i="34" s="1"/>
  <c r="T29" i="34"/>
  <c r="V29" i="34" s="1"/>
  <c r="T28" i="34"/>
  <c r="V28" i="34" s="1"/>
  <c r="T27" i="34"/>
  <c r="V27" i="34" s="1"/>
  <c r="T26" i="34"/>
  <c r="V26" i="34" s="1"/>
  <c r="T25" i="34"/>
  <c r="V25" i="34" s="1"/>
  <c r="T24" i="34"/>
  <c r="V24" i="34" s="1"/>
  <c r="T23" i="34"/>
  <c r="V23" i="34" s="1"/>
  <c r="T22" i="34"/>
  <c r="V22" i="34" s="1"/>
  <c r="T21" i="34"/>
  <c r="V21" i="34" s="1"/>
  <c r="T20" i="34"/>
  <c r="V20" i="34" s="1"/>
  <c r="T19" i="34"/>
  <c r="V19" i="34" s="1"/>
  <c r="T18" i="34"/>
  <c r="V18" i="34" s="1"/>
  <c r="T17" i="34"/>
  <c r="V17" i="34" s="1"/>
  <c r="T16" i="34"/>
  <c r="V16" i="34" s="1"/>
  <c r="T15" i="34"/>
  <c r="V15" i="34" s="1"/>
  <c r="T14" i="34"/>
  <c r="V14" i="34" s="1"/>
  <c r="AO4" i="32"/>
  <c r="AO5" i="32"/>
  <c r="AO6" i="32"/>
  <c r="AO7" i="32"/>
  <c r="AO8" i="32"/>
  <c r="AO9" i="32"/>
  <c r="AO10" i="32"/>
  <c r="AO11" i="32"/>
  <c r="AO12" i="32"/>
  <c r="AO13" i="32"/>
  <c r="AO14" i="32"/>
  <c r="AO15" i="32"/>
  <c r="AO16" i="32"/>
  <c r="AO17" i="32"/>
  <c r="AO18" i="32"/>
  <c r="AO19" i="32"/>
  <c r="AO20" i="32"/>
  <c r="AO21" i="32"/>
  <c r="AO22" i="32"/>
  <c r="AO23" i="32"/>
  <c r="AO24" i="32"/>
  <c r="AO25" i="32"/>
  <c r="AO26" i="32"/>
  <c r="AO27" i="32"/>
  <c r="AO28" i="32"/>
  <c r="AO29" i="32"/>
  <c r="AO30" i="32"/>
  <c r="AO31" i="32"/>
  <c r="AO32" i="32"/>
  <c r="AO33" i="32"/>
  <c r="AO34" i="32"/>
  <c r="AO35" i="32"/>
  <c r="AO36" i="32"/>
  <c r="AO37" i="32"/>
  <c r="AO39" i="32"/>
  <c r="AO3" i="32"/>
  <c r="AN4" i="32"/>
  <c r="AN5" i="32"/>
  <c r="AN6" i="32"/>
  <c r="AN7" i="32"/>
  <c r="AN8" i="32"/>
  <c r="AN9" i="32"/>
  <c r="AN10" i="32"/>
  <c r="AN11" i="32"/>
  <c r="AN12" i="32"/>
  <c r="AN13" i="32"/>
  <c r="AN14" i="32"/>
  <c r="AN15" i="32"/>
  <c r="AN16" i="32"/>
  <c r="AN17" i="32"/>
  <c r="AN18" i="32"/>
  <c r="AN19" i="32"/>
  <c r="AN20" i="32"/>
  <c r="AN21" i="32"/>
  <c r="AN22" i="32"/>
  <c r="AN23" i="32"/>
  <c r="AN24" i="32"/>
  <c r="AN25" i="32"/>
  <c r="AN26" i="32"/>
  <c r="AN27" i="32"/>
  <c r="AN28" i="32"/>
  <c r="AN29" i="32"/>
  <c r="AN30" i="32"/>
  <c r="AN31" i="32"/>
  <c r="AN32" i="32"/>
  <c r="AN33" i="32"/>
  <c r="AN34" i="32"/>
  <c r="AN35" i="32"/>
  <c r="AN36" i="32"/>
  <c r="AN37" i="32"/>
  <c r="AN39" i="32"/>
  <c r="AN3" i="32"/>
  <c r="I4" i="32"/>
  <c r="I5" i="32"/>
  <c r="I6" i="32"/>
  <c r="I7" i="32"/>
  <c r="I8" i="32"/>
  <c r="I9" i="32"/>
  <c r="I10" i="32"/>
  <c r="I11" i="32"/>
  <c r="I12" i="32"/>
  <c r="I13" i="32"/>
  <c r="I14" i="32"/>
  <c r="I15" i="32"/>
  <c r="I16" i="32"/>
  <c r="I17" i="32"/>
  <c r="I18" i="32"/>
  <c r="I19" i="32"/>
  <c r="I20" i="32"/>
  <c r="I21" i="32"/>
  <c r="I22" i="32"/>
  <c r="I23" i="32"/>
  <c r="I24" i="32"/>
  <c r="I25" i="32"/>
  <c r="I26" i="32"/>
  <c r="I27" i="32"/>
  <c r="I28" i="32"/>
  <c r="I29" i="32"/>
  <c r="I30" i="32"/>
  <c r="I31" i="32"/>
  <c r="I32" i="32"/>
  <c r="I33" i="32"/>
  <c r="I34" i="32"/>
  <c r="I35" i="32"/>
  <c r="I36" i="32"/>
  <c r="I37" i="32"/>
  <c r="I39" i="32"/>
  <c r="I3" i="32"/>
  <c r="H4" i="32"/>
  <c r="H5" i="32"/>
  <c r="H6" i="32"/>
  <c r="H7" i="32"/>
  <c r="H8" i="32"/>
  <c r="H9" i="32"/>
  <c r="H10" i="32"/>
  <c r="H11" i="32"/>
  <c r="H12" i="32"/>
  <c r="H13" i="32"/>
  <c r="H14" i="32"/>
  <c r="H15" i="32"/>
  <c r="H16" i="32"/>
  <c r="H17" i="32"/>
  <c r="H18" i="32"/>
  <c r="H19" i="32"/>
  <c r="H20" i="32"/>
  <c r="H21" i="32"/>
  <c r="H22" i="32"/>
  <c r="H23" i="32"/>
  <c r="H24" i="32"/>
  <c r="H25" i="32"/>
  <c r="H26" i="32"/>
  <c r="H27" i="32"/>
  <c r="H28" i="32"/>
  <c r="H29" i="32"/>
  <c r="H30" i="32"/>
  <c r="H31" i="32"/>
  <c r="H32" i="32"/>
  <c r="H33" i="32"/>
  <c r="H34" i="32"/>
  <c r="H35" i="32"/>
  <c r="H36" i="32"/>
  <c r="H37" i="32"/>
  <c r="H39" i="32"/>
  <c r="H3" i="32"/>
  <c r="E4" i="32"/>
  <c r="E5" i="32"/>
  <c r="E6" i="32"/>
  <c r="E7" i="32"/>
  <c r="E8" i="32"/>
  <c r="E9" i="32"/>
  <c r="E10" i="32"/>
  <c r="E11" i="32"/>
  <c r="E12" i="32"/>
  <c r="E13" i="32"/>
  <c r="E14" i="32"/>
  <c r="E15" i="32"/>
  <c r="E16" i="32"/>
  <c r="E17" i="32"/>
  <c r="E18" i="32"/>
  <c r="E19" i="32"/>
  <c r="E20" i="32"/>
  <c r="E21" i="32"/>
  <c r="E22" i="32"/>
  <c r="E23" i="32"/>
  <c r="E24" i="32"/>
  <c r="E25" i="32"/>
  <c r="E26" i="32"/>
  <c r="E27" i="32"/>
  <c r="E28" i="32"/>
  <c r="E29" i="32"/>
  <c r="E30" i="32"/>
  <c r="E31" i="32"/>
  <c r="E32" i="32"/>
  <c r="E33" i="32"/>
  <c r="E34" i="32"/>
  <c r="E35" i="32"/>
  <c r="E36" i="32"/>
  <c r="E37" i="32"/>
  <c r="E39" i="32"/>
  <c r="E3" i="32"/>
  <c r="D4" i="32"/>
  <c r="D5" i="32"/>
  <c r="D6" i="32"/>
  <c r="D7" i="32"/>
  <c r="D8" i="32"/>
  <c r="D9" i="32"/>
  <c r="D10" i="32"/>
  <c r="D11" i="32"/>
  <c r="D12" i="32"/>
  <c r="D13" i="32"/>
  <c r="D14" i="32"/>
  <c r="D15" i="32"/>
  <c r="D16" i="32"/>
  <c r="D17" i="32"/>
  <c r="D18" i="32"/>
  <c r="D19" i="32"/>
  <c r="D20" i="32"/>
  <c r="D21" i="32"/>
  <c r="D22" i="32"/>
  <c r="D23" i="32"/>
  <c r="D24" i="32"/>
  <c r="D25" i="32"/>
  <c r="D26" i="32"/>
  <c r="D27" i="32"/>
  <c r="D28" i="32"/>
  <c r="D29" i="32"/>
  <c r="D30" i="32"/>
  <c r="D31" i="32"/>
  <c r="D32" i="32"/>
  <c r="D33" i="32"/>
  <c r="D34" i="32"/>
  <c r="D35" i="32"/>
  <c r="D36" i="32"/>
  <c r="D37" i="32"/>
  <c r="D39" i="32"/>
  <c r="D3" i="32"/>
  <c r="B6" i="34" l="1"/>
  <c r="B2" i="34"/>
  <c r="H16" i="34" l="1"/>
  <c r="H15" i="34"/>
  <c r="B30" i="14" l="1"/>
  <c r="B29" i="14"/>
  <c r="G31" i="38" l="1"/>
  <c r="G30" i="38"/>
  <c r="G29" i="38"/>
  <c r="G28" i="38"/>
  <c r="G27" i="38"/>
  <c r="G26" i="38"/>
  <c r="G25" i="38"/>
  <c r="G24" i="38"/>
  <c r="G23" i="38"/>
  <c r="G22" i="38"/>
  <c r="G21" i="38"/>
  <c r="G20" i="38"/>
  <c r="G19" i="38"/>
  <c r="G18" i="38"/>
  <c r="G17" i="38"/>
  <c r="G16" i="38"/>
  <c r="G15" i="38"/>
  <c r="D31" i="38"/>
  <c r="D17" i="38"/>
  <c r="D18" i="38"/>
  <c r="D19" i="38"/>
  <c r="D20" i="38"/>
  <c r="D21" i="38"/>
  <c r="D22" i="38"/>
  <c r="D23" i="38"/>
  <c r="D24" i="38"/>
  <c r="D25" i="38"/>
  <c r="D26" i="38"/>
  <c r="D27" i="38"/>
  <c r="D28" i="38"/>
  <c r="D29" i="38"/>
  <c r="D30" i="38"/>
  <c r="D16" i="38"/>
  <c r="D15" i="38"/>
  <c r="D42" i="38" l="1"/>
  <c r="D37" i="38"/>
  <c r="D38" i="38"/>
  <c r="D39" i="38"/>
  <c r="D40" i="38"/>
  <c r="D41" i="38"/>
  <c r="D36" i="38"/>
  <c r="O17" i="38" l="1"/>
  <c r="O18" i="38"/>
  <c r="O19" i="38"/>
  <c r="O20" i="38"/>
  <c r="O21" i="38"/>
  <c r="O22" i="38"/>
  <c r="O23" i="38"/>
  <c r="O24" i="38"/>
  <c r="O25" i="38"/>
  <c r="O26" i="38"/>
  <c r="O27" i="38"/>
  <c r="O28" i="38"/>
  <c r="O29" i="38"/>
  <c r="I20" i="38"/>
  <c r="I28" i="38"/>
  <c r="F17" i="38"/>
  <c r="F18" i="38"/>
  <c r="F19" i="38"/>
  <c r="F20" i="38"/>
  <c r="F21" i="38"/>
  <c r="F22" i="38"/>
  <c r="F23" i="38"/>
  <c r="F24" i="38"/>
  <c r="F25" i="38"/>
  <c r="F26" i="38"/>
  <c r="F27" i="38"/>
  <c r="F28" i="38"/>
  <c r="F29" i="38"/>
  <c r="F30" i="38"/>
  <c r="E17" i="38"/>
  <c r="E18" i="38"/>
  <c r="E19" i="38"/>
  <c r="E20" i="38"/>
  <c r="E21" i="38"/>
  <c r="E22" i="38"/>
  <c r="E23" i="38"/>
  <c r="E24" i="38"/>
  <c r="E25" i="38"/>
  <c r="E26" i="38"/>
  <c r="E27" i="38"/>
  <c r="E28" i="38"/>
  <c r="E29" i="38"/>
  <c r="E30" i="38"/>
  <c r="B17" i="38"/>
  <c r="B18" i="38"/>
  <c r="B19" i="38"/>
  <c r="B20" i="38"/>
  <c r="B21" i="38"/>
  <c r="B22" i="38"/>
  <c r="B23" i="38"/>
  <c r="B24" i="38"/>
  <c r="B25" i="38"/>
  <c r="B26" i="38"/>
  <c r="B27" i="38"/>
  <c r="B28" i="38"/>
  <c r="B29" i="38"/>
  <c r="B30" i="38"/>
  <c r="A17" i="38"/>
  <c r="A18" i="38"/>
  <c r="A19" i="38"/>
  <c r="A20" i="38"/>
  <c r="A21" i="38"/>
  <c r="A22" i="38"/>
  <c r="A23" i="38"/>
  <c r="A24" i="38"/>
  <c r="A25" i="38"/>
  <c r="A26" i="38"/>
  <c r="A27" i="38"/>
  <c r="A28" i="38"/>
  <c r="A29" i="38"/>
  <c r="A30" i="38"/>
  <c r="O16" i="38"/>
  <c r="B16" i="38"/>
  <c r="A16" i="38"/>
  <c r="F16" i="38"/>
  <c r="E16" i="38"/>
  <c r="I17" i="39"/>
  <c r="I17" i="38" s="1"/>
  <c r="I18" i="39"/>
  <c r="I18" i="38" s="1"/>
  <c r="I19" i="39"/>
  <c r="I19" i="38" s="1"/>
  <c r="I20" i="39"/>
  <c r="I21" i="39"/>
  <c r="I21" i="38" s="1"/>
  <c r="I22" i="39"/>
  <c r="I22" i="38" s="1"/>
  <c r="I23" i="39"/>
  <c r="I23" i="38" s="1"/>
  <c r="I24" i="39"/>
  <c r="I24" i="38" s="1"/>
  <c r="I25" i="39"/>
  <c r="I25" i="38" s="1"/>
  <c r="I26" i="39"/>
  <c r="I26" i="38" s="1"/>
  <c r="I27" i="39"/>
  <c r="I27" i="38" s="1"/>
  <c r="I28" i="39"/>
  <c r="I29" i="39"/>
  <c r="I29" i="38" s="1"/>
  <c r="I30" i="39"/>
  <c r="I30" i="38" s="1"/>
  <c r="H16" i="39"/>
  <c r="H16" i="38" s="1"/>
  <c r="H17" i="39"/>
  <c r="H17" i="38" s="1"/>
  <c r="H18" i="39"/>
  <c r="H18" i="38" s="1"/>
  <c r="H19" i="39"/>
  <c r="H19" i="38" s="1"/>
  <c r="H20" i="39"/>
  <c r="H20" i="38" s="1"/>
  <c r="H21" i="39"/>
  <c r="H21" i="38" s="1"/>
  <c r="H22" i="39"/>
  <c r="H22" i="38" s="1"/>
  <c r="H23" i="39"/>
  <c r="H23" i="38" s="1"/>
  <c r="H24" i="39"/>
  <c r="H24" i="38" s="1"/>
  <c r="H25" i="39"/>
  <c r="H25" i="38" s="1"/>
  <c r="H26" i="39"/>
  <c r="H26" i="38" s="1"/>
  <c r="H27" i="39"/>
  <c r="H27" i="38" s="1"/>
  <c r="H28" i="39"/>
  <c r="H28" i="38" s="1"/>
  <c r="H29" i="39"/>
  <c r="H29" i="38" s="1"/>
  <c r="H30" i="39"/>
  <c r="H30" i="38" s="1"/>
  <c r="S17" i="39"/>
  <c r="S17" i="38" s="1"/>
  <c r="S18" i="39"/>
  <c r="S18" i="38" s="1"/>
  <c r="S19" i="39"/>
  <c r="S19" i="38" s="1"/>
  <c r="S20" i="39"/>
  <c r="S20" i="38" s="1"/>
  <c r="S21" i="39"/>
  <c r="S21" i="38" s="1"/>
  <c r="S22" i="39"/>
  <c r="S22" i="38" s="1"/>
  <c r="S23" i="39"/>
  <c r="S23" i="38" s="1"/>
  <c r="S24" i="39"/>
  <c r="S24" i="38" s="1"/>
  <c r="S25" i="39"/>
  <c r="S25" i="38" s="1"/>
  <c r="S26" i="39"/>
  <c r="S26" i="38" s="1"/>
  <c r="S27" i="39"/>
  <c r="S27" i="38" s="1"/>
  <c r="S28" i="39"/>
  <c r="S28" i="38" s="1"/>
  <c r="S29" i="39"/>
  <c r="S29" i="38" s="1"/>
  <c r="S30" i="39"/>
  <c r="S30" i="38" s="1"/>
  <c r="R17" i="39"/>
  <c r="R17" i="38" s="1"/>
  <c r="R18" i="39"/>
  <c r="R18" i="38" s="1"/>
  <c r="R19" i="39"/>
  <c r="R19" i="38" s="1"/>
  <c r="R20" i="39"/>
  <c r="R20" i="38" s="1"/>
  <c r="R21" i="39"/>
  <c r="R21" i="38" s="1"/>
  <c r="R22" i="39"/>
  <c r="R22" i="38" s="1"/>
  <c r="R23" i="39"/>
  <c r="R23" i="38" s="1"/>
  <c r="R24" i="39"/>
  <c r="R24" i="38" s="1"/>
  <c r="R25" i="39"/>
  <c r="R25" i="38" s="1"/>
  <c r="R26" i="39"/>
  <c r="R26" i="38" s="1"/>
  <c r="R27" i="39"/>
  <c r="R27" i="38" s="1"/>
  <c r="R28" i="39"/>
  <c r="R28" i="38" s="1"/>
  <c r="R29" i="39"/>
  <c r="R29" i="38" s="1"/>
  <c r="R30" i="39"/>
  <c r="R30" i="38" s="1"/>
  <c r="Q17" i="39"/>
  <c r="Q17" i="38" s="1"/>
  <c r="Q18" i="39"/>
  <c r="Q18" i="38" s="1"/>
  <c r="Q19" i="39"/>
  <c r="Q19" i="38" s="1"/>
  <c r="Q20" i="39"/>
  <c r="Q20" i="38" s="1"/>
  <c r="Q21" i="39"/>
  <c r="Q21" i="38" s="1"/>
  <c r="Q22" i="39"/>
  <c r="Q22" i="38" s="1"/>
  <c r="Q23" i="39"/>
  <c r="Q23" i="38" s="1"/>
  <c r="Q24" i="39"/>
  <c r="Q24" i="38" s="1"/>
  <c r="Q25" i="39"/>
  <c r="Q25" i="38" s="1"/>
  <c r="Q26" i="39"/>
  <c r="Q26" i="38" s="1"/>
  <c r="Q27" i="39"/>
  <c r="Q27" i="38" s="1"/>
  <c r="Q28" i="39"/>
  <c r="Q28" i="38" s="1"/>
  <c r="Q29" i="39"/>
  <c r="Q29" i="38" s="1"/>
  <c r="Q30" i="39"/>
  <c r="Q30" i="38" s="1"/>
  <c r="P17" i="39"/>
  <c r="P17" i="38" s="1"/>
  <c r="P18" i="39"/>
  <c r="P18" i="38" s="1"/>
  <c r="P19" i="39"/>
  <c r="P19" i="38" s="1"/>
  <c r="P20" i="39"/>
  <c r="P20" i="38" s="1"/>
  <c r="P21" i="39"/>
  <c r="P21" i="38" s="1"/>
  <c r="P22" i="39"/>
  <c r="P22" i="38" s="1"/>
  <c r="P23" i="39"/>
  <c r="P23" i="38" s="1"/>
  <c r="P24" i="39"/>
  <c r="P24" i="38" s="1"/>
  <c r="P25" i="39"/>
  <c r="P25" i="38" s="1"/>
  <c r="P26" i="39"/>
  <c r="P26" i="38" s="1"/>
  <c r="P27" i="39"/>
  <c r="P27" i="38" s="1"/>
  <c r="P28" i="39"/>
  <c r="P28" i="38" s="1"/>
  <c r="P29" i="39"/>
  <c r="P29" i="38" s="1"/>
  <c r="P30" i="39"/>
  <c r="P30" i="38" s="1"/>
  <c r="N17" i="39"/>
  <c r="N17" i="38" s="1"/>
  <c r="N18" i="39"/>
  <c r="N18" i="38" s="1"/>
  <c r="N19" i="39"/>
  <c r="N19" i="38" s="1"/>
  <c r="N20" i="39"/>
  <c r="N20" i="38" s="1"/>
  <c r="N21" i="39"/>
  <c r="N21" i="38" s="1"/>
  <c r="N22" i="39"/>
  <c r="N22" i="38" s="1"/>
  <c r="N23" i="39"/>
  <c r="N23" i="38" s="1"/>
  <c r="N24" i="39"/>
  <c r="N24" i="38" s="1"/>
  <c r="N25" i="39"/>
  <c r="N25" i="38" s="1"/>
  <c r="N26" i="39"/>
  <c r="N26" i="38" s="1"/>
  <c r="N27" i="39"/>
  <c r="N27" i="38" s="1"/>
  <c r="N28" i="39"/>
  <c r="N28" i="38" s="1"/>
  <c r="N29" i="39"/>
  <c r="N29" i="38" s="1"/>
  <c r="M17" i="39"/>
  <c r="M17" i="38" s="1"/>
  <c r="M18" i="39"/>
  <c r="M18" i="38" s="1"/>
  <c r="M19" i="39"/>
  <c r="M19" i="38" s="1"/>
  <c r="M20" i="39"/>
  <c r="M20" i="38" s="1"/>
  <c r="M21" i="39"/>
  <c r="M21" i="38" s="1"/>
  <c r="M22" i="39"/>
  <c r="M22" i="38" s="1"/>
  <c r="M23" i="39"/>
  <c r="M23" i="38" s="1"/>
  <c r="M24" i="39"/>
  <c r="M24" i="38" s="1"/>
  <c r="M25" i="39"/>
  <c r="M25" i="38" s="1"/>
  <c r="M26" i="39"/>
  <c r="M26" i="38" s="1"/>
  <c r="M27" i="39"/>
  <c r="M27" i="38" s="1"/>
  <c r="M28" i="39"/>
  <c r="M28" i="38" s="1"/>
  <c r="M29" i="39"/>
  <c r="M29" i="38" s="1"/>
  <c r="M30" i="39"/>
  <c r="M30" i="38" s="1"/>
  <c r="L16" i="39"/>
  <c r="L16" i="38" s="1"/>
  <c r="L17" i="39"/>
  <c r="L17" i="38" s="1"/>
  <c r="L18" i="39"/>
  <c r="L18" i="38" s="1"/>
  <c r="L19" i="39"/>
  <c r="L19" i="38" s="1"/>
  <c r="L20" i="39"/>
  <c r="L20" i="38" s="1"/>
  <c r="L21" i="39"/>
  <c r="L21" i="38" s="1"/>
  <c r="L22" i="39"/>
  <c r="L22" i="38" s="1"/>
  <c r="L23" i="39"/>
  <c r="L23" i="38" s="1"/>
  <c r="L24" i="39"/>
  <c r="L24" i="38" s="1"/>
  <c r="L25" i="39"/>
  <c r="L25" i="38" s="1"/>
  <c r="L26" i="39"/>
  <c r="L26" i="38" s="1"/>
  <c r="L27" i="39"/>
  <c r="L27" i="38" s="1"/>
  <c r="L28" i="39"/>
  <c r="L28" i="38" s="1"/>
  <c r="L29" i="39"/>
  <c r="L29" i="38" s="1"/>
  <c r="L30" i="39"/>
  <c r="L30" i="38" s="1"/>
  <c r="K17" i="39"/>
  <c r="K17" i="38" s="1"/>
  <c r="K18" i="39"/>
  <c r="K18" i="38" s="1"/>
  <c r="K19" i="39"/>
  <c r="K19" i="38" s="1"/>
  <c r="K20" i="39"/>
  <c r="K20" i="38" s="1"/>
  <c r="K21" i="39"/>
  <c r="K21" i="38" s="1"/>
  <c r="K22" i="39"/>
  <c r="K22" i="38" s="1"/>
  <c r="K23" i="39"/>
  <c r="K23" i="38" s="1"/>
  <c r="K24" i="39"/>
  <c r="K24" i="38" s="1"/>
  <c r="K25" i="39"/>
  <c r="K25" i="38" s="1"/>
  <c r="K26" i="39"/>
  <c r="K26" i="38" s="1"/>
  <c r="K27" i="39"/>
  <c r="K27" i="38" s="1"/>
  <c r="K28" i="39"/>
  <c r="K28" i="38" s="1"/>
  <c r="K29" i="39"/>
  <c r="K29" i="38" s="1"/>
  <c r="K30" i="39"/>
  <c r="K30" i="38" s="1"/>
  <c r="J16" i="39"/>
  <c r="J16" i="38" s="1"/>
  <c r="J17" i="39"/>
  <c r="J17" i="38" s="1"/>
  <c r="J18" i="39"/>
  <c r="J18" i="38" s="1"/>
  <c r="J19" i="39"/>
  <c r="J19" i="38" s="1"/>
  <c r="J20" i="39"/>
  <c r="J20" i="38" s="1"/>
  <c r="J21" i="39"/>
  <c r="J21" i="38" s="1"/>
  <c r="J22" i="39"/>
  <c r="J22" i="38" s="1"/>
  <c r="J23" i="39"/>
  <c r="J23" i="38" s="1"/>
  <c r="J24" i="39"/>
  <c r="J24" i="38" s="1"/>
  <c r="J25" i="39"/>
  <c r="J25" i="38" s="1"/>
  <c r="J26" i="39"/>
  <c r="J26" i="38" s="1"/>
  <c r="J27" i="39"/>
  <c r="J27" i="38" s="1"/>
  <c r="J28" i="39"/>
  <c r="J28" i="38" s="1"/>
  <c r="J29" i="39"/>
  <c r="J29" i="38" s="1"/>
  <c r="J30" i="39"/>
  <c r="J30" i="38" s="1"/>
  <c r="M16" i="39" l="1"/>
  <c r="M16" i="38" s="1"/>
  <c r="I16" i="39"/>
  <c r="I16" i="38" s="1"/>
  <c r="P16" i="39"/>
  <c r="G30" i="14"/>
  <c r="G29" i="14"/>
  <c r="K16" i="39" l="1"/>
  <c r="K16" i="38" s="1"/>
  <c r="N16" i="39"/>
  <c r="N16" i="38" s="1"/>
  <c r="P16" i="38"/>
  <c r="S16" i="39"/>
  <c r="S16" i="38" s="1"/>
  <c r="Q16" i="39"/>
  <c r="B7" i="14"/>
  <c r="S46" i="40"/>
  <c r="R46" i="40"/>
  <c r="O42" i="40"/>
  <c r="L42" i="40"/>
  <c r="J42" i="40"/>
  <c r="O41" i="40"/>
  <c r="L41" i="40"/>
  <c r="J41" i="40"/>
  <c r="O40" i="40"/>
  <c r="L40" i="40"/>
  <c r="J40" i="40"/>
  <c r="O39" i="40"/>
  <c r="L39" i="40"/>
  <c r="J39" i="40"/>
  <c r="O38" i="40"/>
  <c r="L38" i="40"/>
  <c r="J38" i="40"/>
  <c r="O37" i="40"/>
  <c r="L37" i="40"/>
  <c r="J37" i="40"/>
  <c r="O36" i="40"/>
  <c r="L36" i="40"/>
  <c r="J36" i="40"/>
  <c r="G42" i="40"/>
  <c r="F42" i="40"/>
  <c r="E42" i="40"/>
  <c r="G41" i="40"/>
  <c r="F41" i="40"/>
  <c r="E41" i="40"/>
  <c r="G40" i="40"/>
  <c r="F40" i="40"/>
  <c r="E40" i="40"/>
  <c r="G39" i="40"/>
  <c r="F39" i="40"/>
  <c r="E39" i="40"/>
  <c r="G38" i="40"/>
  <c r="F38" i="40"/>
  <c r="E38" i="40"/>
  <c r="G37" i="40"/>
  <c r="F37" i="40"/>
  <c r="E37" i="40"/>
  <c r="G36" i="40"/>
  <c r="F36" i="40"/>
  <c r="E36" i="40"/>
  <c r="D42" i="40"/>
  <c r="D41" i="40"/>
  <c r="D40" i="40"/>
  <c r="D39" i="40"/>
  <c r="D38" i="40"/>
  <c r="D37" i="40"/>
  <c r="D36" i="40"/>
  <c r="B42" i="40"/>
  <c r="B41" i="40"/>
  <c r="B40" i="40"/>
  <c r="B39" i="40"/>
  <c r="B38" i="40"/>
  <c r="B37" i="40"/>
  <c r="B36" i="40"/>
  <c r="A38" i="40"/>
  <c r="A39" i="40"/>
  <c r="A40" i="40"/>
  <c r="A41" i="40"/>
  <c r="A42" i="40"/>
  <c r="A37" i="40"/>
  <c r="A36" i="40"/>
  <c r="O15" i="40"/>
  <c r="O16" i="40"/>
  <c r="O17" i="40"/>
  <c r="O18" i="40"/>
  <c r="O19" i="40"/>
  <c r="O20" i="40"/>
  <c r="O21" i="40"/>
  <c r="O22" i="40"/>
  <c r="O23" i="40"/>
  <c r="O24" i="40"/>
  <c r="O25" i="40"/>
  <c r="O26" i="40"/>
  <c r="O27" i="40"/>
  <c r="O28" i="40"/>
  <c r="O29" i="40"/>
  <c r="O30" i="40"/>
  <c r="O31" i="40"/>
  <c r="O14" i="40"/>
  <c r="G15" i="40"/>
  <c r="G16" i="40"/>
  <c r="G17" i="40"/>
  <c r="G18" i="40"/>
  <c r="G19" i="40"/>
  <c r="G20" i="40"/>
  <c r="G21" i="40"/>
  <c r="G22" i="40"/>
  <c r="G23" i="40"/>
  <c r="G24" i="40"/>
  <c r="G25" i="40"/>
  <c r="G26" i="40"/>
  <c r="G27" i="40"/>
  <c r="G28" i="40"/>
  <c r="G29" i="40"/>
  <c r="G30" i="40"/>
  <c r="G31" i="40"/>
  <c r="G14" i="40"/>
  <c r="F15" i="40"/>
  <c r="F16" i="40"/>
  <c r="F17" i="40"/>
  <c r="F18" i="40"/>
  <c r="F19" i="40"/>
  <c r="F20" i="40"/>
  <c r="F21" i="40"/>
  <c r="F22" i="40"/>
  <c r="F23" i="40"/>
  <c r="F24" i="40"/>
  <c r="F25" i="40"/>
  <c r="F26" i="40"/>
  <c r="F27" i="40"/>
  <c r="F28" i="40"/>
  <c r="F29" i="40"/>
  <c r="F30" i="40"/>
  <c r="F31" i="40"/>
  <c r="F14" i="40"/>
  <c r="E15" i="40"/>
  <c r="E16" i="40"/>
  <c r="E17" i="40"/>
  <c r="E18" i="40"/>
  <c r="E19" i="40"/>
  <c r="E20" i="40"/>
  <c r="E21" i="40"/>
  <c r="E22" i="40"/>
  <c r="E23" i="40"/>
  <c r="E24" i="40"/>
  <c r="E25" i="40"/>
  <c r="E26" i="40"/>
  <c r="E27" i="40"/>
  <c r="E28" i="40"/>
  <c r="E29" i="40"/>
  <c r="E30" i="40"/>
  <c r="E31" i="40"/>
  <c r="E14" i="40"/>
  <c r="D15" i="40"/>
  <c r="D16" i="40"/>
  <c r="D17" i="40"/>
  <c r="D18" i="40"/>
  <c r="D19" i="40"/>
  <c r="D20" i="40"/>
  <c r="D21" i="40"/>
  <c r="D22" i="40"/>
  <c r="D23" i="40"/>
  <c r="D24" i="40"/>
  <c r="D25" i="40"/>
  <c r="D26" i="40"/>
  <c r="D27" i="40"/>
  <c r="D28" i="40"/>
  <c r="D29" i="40"/>
  <c r="D30" i="40"/>
  <c r="D31" i="40"/>
  <c r="D14" i="40"/>
  <c r="B15" i="40"/>
  <c r="B16" i="40"/>
  <c r="B17" i="40"/>
  <c r="B18" i="40"/>
  <c r="B19" i="40"/>
  <c r="B20" i="40"/>
  <c r="B21" i="40"/>
  <c r="B22" i="40"/>
  <c r="B23" i="40"/>
  <c r="B24" i="40"/>
  <c r="B25" i="40"/>
  <c r="B26" i="40"/>
  <c r="B27" i="40"/>
  <c r="B28" i="40"/>
  <c r="B29" i="40"/>
  <c r="B30" i="40"/>
  <c r="B31" i="40"/>
  <c r="A15" i="40"/>
  <c r="T15" i="40" s="1"/>
  <c r="V15" i="40" s="1"/>
  <c r="A16" i="40"/>
  <c r="T16" i="40" s="1"/>
  <c r="V16" i="40" s="1"/>
  <c r="A17" i="40"/>
  <c r="T17" i="40" s="1"/>
  <c r="V17" i="40" s="1"/>
  <c r="A18" i="40"/>
  <c r="T18" i="40" s="1"/>
  <c r="V18" i="40" s="1"/>
  <c r="A19" i="40"/>
  <c r="T19" i="40" s="1"/>
  <c r="V19" i="40" s="1"/>
  <c r="A20" i="40"/>
  <c r="T20" i="40" s="1"/>
  <c r="V20" i="40" s="1"/>
  <c r="A21" i="40"/>
  <c r="T21" i="40" s="1"/>
  <c r="V21" i="40" s="1"/>
  <c r="A22" i="40"/>
  <c r="T22" i="40" s="1"/>
  <c r="V22" i="40" s="1"/>
  <c r="A23" i="40"/>
  <c r="T23" i="40" s="1"/>
  <c r="V23" i="40" s="1"/>
  <c r="A24" i="40"/>
  <c r="T24" i="40" s="1"/>
  <c r="V24" i="40" s="1"/>
  <c r="A25" i="40"/>
  <c r="A26" i="40"/>
  <c r="A27" i="40"/>
  <c r="T27" i="40" s="1"/>
  <c r="V27" i="40" s="1"/>
  <c r="A28" i="40"/>
  <c r="T28" i="40" s="1"/>
  <c r="V28" i="40" s="1"/>
  <c r="A29" i="40"/>
  <c r="A30" i="40"/>
  <c r="A31" i="40"/>
  <c r="B14" i="40"/>
  <c r="A14" i="40"/>
  <c r="B9" i="40"/>
  <c r="B6" i="40"/>
  <c r="B4" i="40"/>
  <c r="S57" i="40"/>
  <c r="R57" i="40"/>
  <c r="U55" i="40"/>
  <c r="S55" i="40"/>
  <c r="R55" i="40"/>
  <c r="Q55" i="40"/>
  <c r="P55" i="40"/>
  <c r="N55" i="40"/>
  <c r="M55" i="40"/>
  <c r="K55" i="40"/>
  <c r="I55" i="40"/>
  <c r="H55" i="40"/>
  <c r="U54" i="40"/>
  <c r="S54" i="40"/>
  <c r="R54" i="40"/>
  <c r="Q54" i="40"/>
  <c r="P54" i="40"/>
  <c r="N54" i="40"/>
  <c r="M54" i="40"/>
  <c r="K54" i="40"/>
  <c r="I54" i="40"/>
  <c r="H54" i="40"/>
  <c r="U53" i="40"/>
  <c r="S53" i="40"/>
  <c r="R53" i="40"/>
  <c r="Q53" i="40"/>
  <c r="P53" i="40"/>
  <c r="N53" i="40"/>
  <c r="M53" i="40"/>
  <c r="K53" i="40"/>
  <c r="I53" i="40"/>
  <c r="H53" i="40"/>
  <c r="U52" i="40"/>
  <c r="Q52" i="40"/>
  <c r="P52" i="40"/>
  <c r="N52" i="40"/>
  <c r="M52" i="40"/>
  <c r="K52" i="40"/>
  <c r="I52" i="40"/>
  <c r="H52" i="40"/>
  <c r="U51" i="40"/>
  <c r="Q51" i="40"/>
  <c r="P51" i="40"/>
  <c r="N51" i="40"/>
  <c r="M51" i="40"/>
  <c r="K51" i="40"/>
  <c r="I51" i="40"/>
  <c r="H51" i="40"/>
  <c r="T26" i="40"/>
  <c r="V26" i="40" s="1"/>
  <c r="T25" i="40"/>
  <c r="V25" i="40" s="1"/>
  <c r="D16" i="14"/>
  <c r="Q16" i="38" l="1"/>
  <c r="R16" i="39"/>
  <c r="R16" i="38" s="1"/>
  <c r="H56" i="40"/>
  <c r="T29" i="40"/>
  <c r="V29" i="40" s="1"/>
  <c r="I56" i="40"/>
  <c r="T31" i="40"/>
  <c r="V31" i="40" s="1"/>
  <c r="T30" i="40"/>
  <c r="V30" i="40" s="1"/>
  <c r="T14" i="40"/>
  <c r="T32" i="40" s="1"/>
  <c r="E6" i="40"/>
  <c r="V14" i="40" l="1"/>
  <c r="V32" i="40" s="1"/>
  <c r="B3" i="34" l="1"/>
  <c r="B3" i="40" s="1"/>
  <c r="H31" i="34" l="1"/>
  <c r="H31" i="40" s="1"/>
  <c r="H14" i="34"/>
  <c r="H14" i="40" s="1"/>
  <c r="H16" i="40"/>
  <c r="H17" i="34"/>
  <c r="H17" i="40" s="1"/>
  <c r="H18" i="34"/>
  <c r="H18" i="40" s="1"/>
  <c r="H19" i="34"/>
  <c r="H19" i="40" s="1"/>
  <c r="H20" i="34"/>
  <c r="H20" i="40" s="1"/>
  <c r="H21" i="34"/>
  <c r="H21" i="40" s="1"/>
  <c r="H22" i="34"/>
  <c r="H22" i="40" s="1"/>
  <c r="H23" i="34"/>
  <c r="H23" i="40" s="1"/>
  <c r="H24" i="34"/>
  <c r="H24" i="40" s="1"/>
  <c r="H25" i="34"/>
  <c r="H25" i="40" s="1"/>
  <c r="H26" i="34"/>
  <c r="H26" i="40" s="1"/>
  <c r="H27" i="34"/>
  <c r="H27" i="40" s="1"/>
  <c r="H28" i="34"/>
  <c r="H28" i="40" s="1"/>
  <c r="H29" i="34"/>
  <c r="H29" i="40" s="1"/>
  <c r="H30" i="34"/>
  <c r="H30" i="40" s="1"/>
  <c r="H15" i="40"/>
  <c r="H32" i="40" l="1"/>
  <c r="S20" i="34"/>
  <c r="S20" i="40" s="1"/>
  <c r="S21" i="34"/>
  <c r="S21" i="40" s="1"/>
  <c r="S22" i="34"/>
  <c r="S22" i="40" s="1"/>
  <c r="S23" i="34"/>
  <c r="S23" i="40" s="1"/>
  <c r="S24" i="34"/>
  <c r="S24" i="40" s="1"/>
  <c r="S25" i="34"/>
  <c r="S25" i="40" s="1"/>
  <c r="S26" i="34"/>
  <c r="S26" i="40" s="1"/>
  <c r="S27" i="34"/>
  <c r="S27" i="40" s="1"/>
  <c r="S28" i="34"/>
  <c r="S28" i="40" s="1"/>
  <c r="S29" i="34"/>
  <c r="S29" i="40" s="1"/>
  <c r="S30" i="34"/>
  <c r="S30" i="40" s="1"/>
  <c r="R20" i="34"/>
  <c r="R20" i="40" s="1"/>
  <c r="R21" i="34"/>
  <c r="R21" i="40" s="1"/>
  <c r="R22" i="34"/>
  <c r="R22" i="40" s="1"/>
  <c r="R23" i="34"/>
  <c r="R23" i="40" s="1"/>
  <c r="R24" i="34"/>
  <c r="R24" i="40" s="1"/>
  <c r="R25" i="34"/>
  <c r="R25" i="40" s="1"/>
  <c r="R26" i="34"/>
  <c r="R26" i="40" s="1"/>
  <c r="R27" i="34"/>
  <c r="R27" i="40" s="1"/>
  <c r="R28" i="34"/>
  <c r="R28" i="40" s="1"/>
  <c r="R29" i="34"/>
  <c r="R29" i="40" s="1"/>
  <c r="R30" i="34"/>
  <c r="R30" i="40" s="1"/>
  <c r="Q20" i="34"/>
  <c r="Q20" i="40" s="1"/>
  <c r="Q21" i="34"/>
  <c r="Q21" i="40" s="1"/>
  <c r="Q22" i="34"/>
  <c r="Q22" i="40" s="1"/>
  <c r="Q23" i="34"/>
  <c r="Q23" i="40" s="1"/>
  <c r="Q24" i="34"/>
  <c r="Q24" i="40" s="1"/>
  <c r="Q25" i="34"/>
  <c r="Q25" i="40" s="1"/>
  <c r="Q26" i="34"/>
  <c r="Q26" i="40" s="1"/>
  <c r="Q27" i="34"/>
  <c r="Q27" i="40" s="1"/>
  <c r="Q28" i="34"/>
  <c r="Q28" i="40" s="1"/>
  <c r="P16" i="34"/>
  <c r="P16" i="40" s="1"/>
  <c r="P17" i="34"/>
  <c r="P18" i="34"/>
  <c r="P18" i="40" s="1"/>
  <c r="P19" i="34"/>
  <c r="P19" i="40" s="1"/>
  <c r="P20" i="34"/>
  <c r="P20" i="40" s="1"/>
  <c r="P21" i="34"/>
  <c r="P21" i="40" s="1"/>
  <c r="P22" i="34"/>
  <c r="P22" i="40" s="1"/>
  <c r="P23" i="34"/>
  <c r="P23" i="40" s="1"/>
  <c r="P24" i="34"/>
  <c r="P24" i="40" s="1"/>
  <c r="P25" i="34"/>
  <c r="P25" i="40" s="1"/>
  <c r="P26" i="34"/>
  <c r="P26" i="40" s="1"/>
  <c r="P27" i="34"/>
  <c r="P27" i="40" s="1"/>
  <c r="P28" i="34"/>
  <c r="P28" i="40" s="1"/>
  <c r="N20" i="34"/>
  <c r="N20" i="40" s="1"/>
  <c r="N21" i="34"/>
  <c r="N21" i="40" s="1"/>
  <c r="N22" i="34"/>
  <c r="N22" i="40" s="1"/>
  <c r="N23" i="34"/>
  <c r="N23" i="40" s="1"/>
  <c r="N24" i="34"/>
  <c r="N24" i="40" s="1"/>
  <c r="N25" i="34"/>
  <c r="N25" i="40" s="1"/>
  <c r="N26" i="34"/>
  <c r="N26" i="40" s="1"/>
  <c r="N27" i="34"/>
  <c r="N27" i="40" s="1"/>
  <c r="N28" i="34"/>
  <c r="N28" i="40" s="1"/>
  <c r="N29" i="34"/>
  <c r="N29" i="40" s="1"/>
  <c r="N30" i="34"/>
  <c r="N30" i="40" s="1"/>
  <c r="M20" i="34"/>
  <c r="M20" i="40" s="1"/>
  <c r="M21" i="34"/>
  <c r="M21" i="40" s="1"/>
  <c r="M22" i="34"/>
  <c r="M22" i="40" s="1"/>
  <c r="M23" i="34"/>
  <c r="M23" i="40" s="1"/>
  <c r="M24" i="34"/>
  <c r="M24" i="40" s="1"/>
  <c r="M25" i="34"/>
  <c r="M25" i="40" s="1"/>
  <c r="M26" i="34"/>
  <c r="M26" i="40" s="1"/>
  <c r="M27" i="34"/>
  <c r="M27" i="40" s="1"/>
  <c r="M28" i="34"/>
  <c r="M28" i="40" s="1"/>
  <c r="M29" i="34"/>
  <c r="M29" i="40" s="1"/>
  <c r="M30" i="34"/>
  <c r="M30" i="40" s="1"/>
  <c r="L17" i="34"/>
  <c r="L18" i="34"/>
  <c r="L19" i="34"/>
  <c r="L20" i="34"/>
  <c r="L20" i="40" s="1"/>
  <c r="L21" i="34"/>
  <c r="L21" i="40" s="1"/>
  <c r="L22" i="34"/>
  <c r="L22" i="40" s="1"/>
  <c r="L23" i="34"/>
  <c r="L23" i="40" s="1"/>
  <c r="L24" i="34"/>
  <c r="L24" i="40" s="1"/>
  <c r="L25" i="34"/>
  <c r="L25" i="40" s="1"/>
  <c r="L26" i="34"/>
  <c r="L26" i="40" s="1"/>
  <c r="L27" i="34"/>
  <c r="L27" i="40" s="1"/>
  <c r="L28" i="34"/>
  <c r="L28" i="40" s="1"/>
  <c r="L29" i="34"/>
  <c r="L29" i="40" s="1"/>
  <c r="L30" i="34"/>
  <c r="L30" i="40" s="1"/>
  <c r="K20" i="34"/>
  <c r="K20" i="40" s="1"/>
  <c r="K21" i="34"/>
  <c r="K21" i="40" s="1"/>
  <c r="K22" i="34"/>
  <c r="K22" i="40" s="1"/>
  <c r="K23" i="34"/>
  <c r="K23" i="40" s="1"/>
  <c r="K24" i="34"/>
  <c r="K24" i="40" s="1"/>
  <c r="K25" i="34"/>
  <c r="K25" i="40" s="1"/>
  <c r="K26" i="34"/>
  <c r="K26" i="40" s="1"/>
  <c r="K27" i="34"/>
  <c r="K27" i="40" s="1"/>
  <c r="K28" i="34"/>
  <c r="K28" i="40" s="1"/>
  <c r="K29" i="34"/>
  <c r="K29" i="40" s="1"/>
  <c r="K30" i="34"/>
  <c r="K30" i="40" s="1"/>
  <c r="J17" i="34"/>
  <c r="J17" i="40" s="1"/>
  <c r="J18" i="34"/>
  <c r="J18" i="40" s="1"/>
  <c r="J19" i="34"/>
  <c r="J20" i="34"/>
  <c r="J20" i="40" s="1"/>
  <c r="J21" i="34"/>
  <c r="J21" i="40" s="1"/>
  <c r="J22" i="34"/>
  <c r="J22" i="40" s="1"/>
  <c r="J23" i="34"/>
  <c r="J23" i="40" s="1"/>
  <c r="J24" i="34"/>
  <c r="J24" i="40" s="1"/>
  <c r="J25" i="34"/>
  <c r="J25" i="40" s="1"/>
  <c r="J26" i="34"/>
  <c r="J26" i="40" s="1"/>
  <c r="J27" i="34"/>
  <c r="J27" i="40" s="1"/>
  <c r="J28" i="34"/>
  <c r="J28" i="40" s="1"/>
  <c r="J29" i="34"/>
  <c r="J29" i="40" s="1"/>
  <c r="J30" i="34"/>
  <c r="J30" i="40" s="1"/>
  <c r="I16" i="34"/>
  <c r="I17" i="34"/>
  <c r="I18" i="34"/>
  <c r="I19" i="34"/>
  <c r="I19" i="40" s="1"/>
  <c r="I20" i="34"/>
  <c r="I20" i="40" s="1"/>
  <c r="I21" i="34"/>
  <c r="I21" i="40" s="1"/>
  <c r="I22" i="34"/>
  <c r="I22" i="40" s="1"/>
  <c r="I23" i="34"/>
  <c r="I23" i="40" s="1"/>
  <c r="I24" i="34"/>
  <c r="I24" i="40" s="1"/>
  <c r="I25" i="34"/>
  <c r="I25" i="40" s="1"/>
  <c r="I26" i="34"/>
  <c r="I26" i="40" s="1"/>
  <c r="I27" i="34"/>
  <c r="I27" i="40" s="1"/>
  <c r="I28" i="34"/>
  <c r="I28" i="40" s="1"/>
  <c r="I29" i="34"/>
  <c r="I29" i="40" s="1"/>
  <c r="I30" i="34"/>
  <c r="I30" i="40" s="1"/>
  <c r="I15" i="34"/>
  <c r="M17" i="34" l="1"/>
  <c r="M17" i="40" s="1"/>
  <c r="L17" i="40"/>
  <c r="M19" i="34"/>
  <c r="M19" i="40" s="1"/>
  <c r="L19" i="40"/>
  <c r="K19" i="34"/>
  <c r="J19" i="40"/>
  <c r="K17" i="34"/>
  <c r="K17" i="40" s="1"/>
  <c r="I17" i="40"/>
  <c r="S17" i="34"/>
  <c r="S17" i="40" s="1"/>
  <c r="P17" i="40"/>
  <c r="I16" i="40"/>
  <c r="I15" i="40"/>
  <c r="K18" i="34"/>
  <c r="K18" i="40" s="1"/>
  <c r="I18" i="40"/>
  <c r="M18" i="34"/>
  <c r="M18" i="40" s="1"/>
  <c r="L18" i="40"/>
  <c r="S19" i="34"/>
  <c r="S19" i="40" s="1"/>
  <c r="Q19" i="34"/>
  <c r="S18" i="34"/>
  <c r="S18" i="40" s="1"/>
  <c r="N17" i="34"/>
  <c r="N17" i="40" s="1"/>
  <c r="Q17" i="34"/>
  <c r="P15" i="34"/>
  <c r="P15" i="40" s="1"/>
  <c r="G23" i="33"/>
  <c r="H23" i="33" s="1"/>
  <c r="R19" i="34" l="1"/>
  <c r="R19" i="40" s="1"/>
  <c r="Q19" i="40"/>
  <c r="N19" i="34"/>
  <c r="N19" i="40" s="1"/>
  <c r="K19" i="40"/>
  <c r="R17" i="34"/>
  <c r="R17" i="40" s="1"/>
  <c r="Q17" i="40"/>
  <c r="N18" i="34"/>
  <c r="N18" i="40" s="1"/>
  <c r="Q18" i="34"/>
  <c r="O23" i="33"/>
  <c r="R18" i="34" l="1"/>
  <c r="R18" i="40" s="1"/>
  <c r="Q18" i="40"/>
  <c r="T32" i="34" l="1"/>
  <c r="G34" i="33"/>
  <c r="H34" i="33" s="1"/>
  <c r="G33" i="33"/>
  <c r="H33" i="33" s="1"/>
  <c r="G31" i="33"/>
  <c r="H31" i="33" s="1"/>
  <c r="G29" i="33"/>
  <c r="H29" i="33" s="1"/>
  <c r="G28" i="33"/>
  <c r="H28" i="33" s="1"/>
  <c r="O34" i="33" l="1"/>
  <c r="O33" i="33"/>
  <c r="O31" i="33"/>
  <c r="O29" i="33"/>
  <c r="O28" i="33"/>
  <c r="M20" i="32"/>
  <c r="L20" i="32"/>
  <c r="M18" i="32"/>
  <c r="L18" i="32"/>
  <c r="M17" i="32"/>
  <c r="L17" i="32"/>
  <c r="M23" i="32"/>
  <c r="L23" i="32"/>
  <c r="M22" i="32"/>
  <c r="L22" i="32"/>
  <c r="G42" i="38" l="1"/>
  <c r="G41" i="38"/>
  <c r="G40" i="38"/>
  <c r="G39" i="38"/>
  <c r="G38" i="38"/>
  <c r="G37" i="38"/>
  <c r="G36" i="38"/>
  <c r="B2" i="39" l="1"/>
  <c r="B2" i="38" s="1"/>
  <c r="O42" i="38" l="1"/>
  <c r="L42" i="38"/>
  <c r="J42" i="38"/>
  <c r="F42" i="38"/>
  <c r="E42" i="38"/>
  <c r="B42" i="38"/>
  <c r="A42" i="38"/>
  <c r="O41" i="38"/>
  <c r="L41" i="38"/>
  <c r="J41" i="38"/>
  <c r="F41" i="38"/>
  <c r="E41" i="38"/>
  <c r="B41" i="38"/>
  <c r="A41" i="38"/>
  <c r="O40" i="38"/>
  <c r="L40" i="38"/>
  <c r="J40" i="38"/>
  <c r="F40" i="38"/>
  <c r="E40" i="38"/>
  <c r="B40" i="38"/>
  <c r="A40" i="38"/>
  <c r="O39" i="38"/>
  <c r="L39" i="38"/>
  <c r="J39" i="38"/>
  <c r="F39" i="38"/>
  <c r="E39" i="38"/>
  <c r="B39" i="38"/>
  <c r="A39" i="38"/>
  <c r="O38" i="38"/>
  <c r="L38" i="38"/>
  <c r="J38" i="38"/>
  <c r="F38" i="38"/>
  <c r="E38" i="38"/>
  <c r="B38" i="38"/>
  <c r="A38" i="38"/>
  <c r="O37" i="38"/>
  <c r="L37" i="38"/>
  <c r="J37" i="38"/>
  <c r="F37" i="38"/>
  <c r="E37" i="38"/>
  <c r="B37" i="38"/>
  <c r="A37" i="38"/>
  <c r="O36" i="38"/>
  <c r="L36" i="38"/>
  <c r="J36" i="38"/>
  <c r="F36" i="38"/>
  <c r="E36" i="38"/>
  <c r="B36" i="38"/>
  <c r="A36" i="38"/>
  <c r="O31" i="38"/>
  <c r="F31" i="38"/>
  <c r="E31" i="38"/>
  <c r="B31" i="38"/>
  <c r="A31" i="38"/>
  <c r="O30" i="38"/>
  <c r="O15" i="38"/>
  <c r="F15" i="38"/>
  <c r="E15" i="38"/>
  <c r="B15" i="38"/>
  <c r="A15" i="38"/>
  <c r="G10" i="38"/>
  <c r="B10" i="38"/>
  <c r="G9" i="38"/>
  <c r="B7" i="38"/>
  <c r="M58" i="38"/>
  <c r="S57" i="39"/>
  <c r="R57" i="39"/>
  <c r="U55" i="39"/>
  <c r="S55" i="39"/>
  <c r="R55" i="39"/>
  <c r="Q55" i="39"/>
  <c r="P55" i="39"/>
  <c r="N55" i="39"/>
  <c r="M55" i="39"/>
  <c r="K55" i="39"/>
  <c r="I55" i="39"/>
  <c r="H55" i="39"/>
  <c r="U54" i="39"/>
  <c r="S54" i="39"/>
  <c r="R54" i="39"/>
  <c r="Q54" i="39"/>
  <c r="P54" i="39"/>
  <c r="N54" i="39"/>
  <c r="M54" i="39"/>
  <c r="K54" i="39"/>
  <c r="I54" i="39"/>
  <c r="H54" i="39"/>
  <c r="U53" i="39"/>
  <c r="S53" i="39"/>
  <c r="R53" i="39"/>
  <c r="Q53" i="39"/>
  <c r="P53" i="39"/>
  <c r="N53" i="39"/>
  <c r="M53" i="39"/>
  <c r="K53" i="39"/>
  <c r="I53" i="39"/>
  <c r="H53" i="39"/>
  <c r="U52" i="39"/>
  <c r="Q52" i="39"/>
  <c r="P52" i="39"/>
  <c r="N52" i="39"/>
  <c r="M52" i="39"/>
  <c r="K52" i="39"/>
  <c r="I52" i="39"/>
  <c r="H52" i="39"/>
  <c r="U51" i="39"/>
  <c r="Q51" i="39"/>
  <c r="P51" i="39"/>
  <c r="N51" i="39"/>
  <c r="M51" i="39"/>
  <c r="K51" i="39"/>
  <c r="I51" i="39"/>
  <c r="H51" i="39"/>
  <c r="U42" i="39"/>
  <c r="S42" i="39"/>
  <c r="S42" i="38" s="1"/>
  <c r="R42" i="39"/>
  <c r="R42" i="38" s="1"/>
  <c r="Q42" i="39"/>
  <c r="Q42" i="38" s="1"/>
  <c r="P42" i="39"/>
  <c r="P42" i="38" s="1"/>
  <c r="N42" i="39"/>
  <c r="N42" i="38" s="1"/>
  <c r="M42" i="39"/>
  <c r="M42" i="38" s="1"/>
  <c r="K42" i="39"/>
  <c r="K42" i="38" s="1"/>
  <c r="I42" i="39"/>
  <c r="I42" i="38" s="1"/>
  <c r="H42" i="39"/>
  <c r="H42" i="38" s="1"/>
  <c r="U41" i="39"/>
  <c r="S41" i="39"/>
  <c r="S41" i="38" s="1"/>
  <c r="R41" i="39"/>
  <c r="R41" i="38" s="1"/>
  <c r="Q41" i="39"/>
  <c r="Q41" i="38" s="1"/>
  <c r="P41" i="39"/>
  <c r="P41" i="38" s="1"/>
  <c r="N41" i="39"/>
  <c r="N41" i="38" s="1"/>
  <c r="M41" i="39"/>
  <c r="M41" i="38" s="1"/>
  <c r="K41" i="39"/>
  <c r="K41" i="38" s="1"/>
  <c r="I41" i="39"/>
  <c r="I41" i="38" s="1"/>
  <c r="H41" i="39"/>
  <c r="H41" i="38" s="1"/>
  <c r="U40" i="39"/>
  <c r="S40" i="39"/>
  <c r="S40" i="38" s="1"/>
  <c r="R40" i="39"/>
  <c r="R40" i="38" s="1"/>
  <c r="Q40" i="39"/>
  <c r="Q40" i="38" s="1"/>
  <c r="P40" i="39"/>
  <c r="P40" i="38" s="1"/>
  <c r="N40" i="39"/>
  <c r="N40" i="38" s="1"/>
  <c r="M40" i="39"/>
  <c r="M40" i="38" s="1"/>
  <c r="K40" i="39"/>
  <c r="K40" i="38" s="1"/>
  <c r="I40" i="39"/>
  <c r="I40" i="38" s="1"/>
  <c r="H40" i="39"/>
  <c r="H40" i="38" s="1"/>
  <c r="U39" i="39"/>
  <c r="S39" i="39"/>
  <c r="S39" i="38" s="1"/>
  <c r="R39" i="39"/>
  <c r="R39" i="38" s="1"/>
  <c r="Q39" i="39"/>
  <c r="Q39" i="38" s="1"/>
  <c r="P39" i="39"/>
  <c r="P39" i="38" s="1"/>
  <c r="N39" i="39"/>
  <c r="N39" i="38" s="1"/>
  <c r="M39" i="39"/>
  <c r="M39" i="38" s="1"/>
  <c r="K39" i="39"/>
  <c r="I39" i="39"/>
  <c r="I39" i="38" s="1"/>
  <c r="H39" i="39"/>
  <c r="H39" i="38" s="1"/>
  <c r="U38" i="39"/>
  <c r="S38" i="39"/>
  <c r="S38" i="38" s="1"/>
  <c r="R38" i="39"/>
  <c r="R38" i="38" s="1"/>
  <c r="Q38" i="39"/>
  <c r="Q38" i="38" s="1"/>
  <c r="P38" i="39"/>
  <c r="P38" i="38" s="1"/>
  <c r="N38" i="39"/>
  <c r="N38" i="38" s="1"/>
  <c r="M38" i="39"/>
  <c r="M38" i="38" s="1"/>
  <c r="K38" i="39"/>
  <c r="K38" i="38" s="1"/>
  <c r="I38" i="39"/>
  <c r="H38" i="39"/>
  <c r="H38" i="38" s="1"/>
  <c r="U37" i="39"/>
  <c r="S37" i="39"/>
  <c r="S37" i="38" s="1"/>
  <c r="R37" i="39"/>
  <c r="R37" i="38" s="1"/>
  <c r="Q37" i="39"/>
  <c r="Q37" i="38" s="1"/>
  <c r="P37" i="39"/>
  <c r="P37" i="38" s="1"/>
  <c r="N37" i="39"/>
  <c r="N37" i="38" s="1"/>
  <c r="M37" i="39"/>
  <c r="M37" i="38" s="1"/>
  <c r="K37" i="39"/>
  <c r="K37" i="38" s="1"/>
  <c r="I37" i="39"/>
  <c r="I37" i="38" s="1"/>
  <c r="H37" i="39"/>
  <c r="H37" i="38" s="1"/>
  <c r="U36" i="39"/>
  <c r="S36" i="39"/>
  <c r="S36" i="38" s="1"/>
  <c r="R36" i="39"/>
  <c r="R36" i="38" s="1"/>
  <c r="Q36" i="39"/>
  <c r="P36" i="39"/>
  <c r="N36" i="39"/>
  <c r="N36" i="38" s="1"/>
  <c r="M36" i="39"/>
  <c r="M36" i="38" s="1"/>
  <c r="K36" i="39"/>
  <c r="K36" i="38" s="1"/>
  <c r="I36" i="39"/>
  <c r="I36" i="38" s="1"/>
  <c r="H36" i="39"/>
  <c r="H36" i="38" s="1"/>
  <c r="U31" i="39"/>
  <c r="S31" i="39"/>
  <c r="S31" i="38" s="1"/>
  <c r="R31" i="39"/>
  <c r="R31" i="38" s="1"/>
  <c r="Q31" i="39"/>
  <c r="Q31" i="38" s="1"/>
  <c r="P31" i="39"/>
  <c r="P31" i="38" s="1"/>
  <c r="N31" i="39"/>
  <c r="N31" i="38" s="1"/>
  <c r="M31" i="39"/>
  <c r="M31" i="38" s="1"/>
  <c r="L31" i="39"/>
  <c r="L31" i="38" s="1"/>
  <c r="K31" i="39"/>
  <c r="K31" i="38" s="1"/>
  <c r="J31" i="39"/>
  <c r="J31" i="38" s="1"/>
  <c r="I31" i="39"/>
  <c r="I31" i="38" s="1"/>
  <c r="H31" i="39"/>
  <c r="H31" i="38" s="1"/>
  <c r="U30" i="39"/>
  <c r="N30" i="39"/>
  <c r="N30" i="38" s="1"/>
  <c r="U29" i="39"/>
  <c r="U28" i="39"/>
  <c r="U27" i="39"/>
  <c r="U26" i="39"/>
  <c r="U25" i="39"/>
  <c r="H15" i="39"/>
  <c r="I15" i="39" s="1"/>
  <c r="I15" i="38" s="1"/>
  <c r="B9" i="39"/>
  <c r="A64" i="39" s="1"/>
  <c r="B8" i="39"/>
  <c r="E8" i="39" s="1"/>
  <c r="E7" i="39"/>
  <c r="B6" i="39"/>
  <c r="M47" i="39"/>
  <c r="B3" i="39"/>
  <c r="B3" i="38" s="1"/>
  <c r="B1" i="39"/>
  <c r="B1" i="38" s="1"/>
  <c r="H56" i="39" l="1"/>
  <c r="P43" i="39"/>
  <c r="R43" i="39" s="1"/>
  <c r="I43" i="39"/>
  <c r="M43" i="39"/>
  <c r="Q43" i="39"/>
  <c r="I56" i="39"/>
  <c r="P36" i="38"/>
  <c r="N43" i="39"/>
  <c r="H43" i="39"/>
  <c r="K43" i="39"/>
  <c r="S43" i="39" s="1"/>
  <c r="Q36" i="38"/>
  <c r="I38" i="38"/>
  <c r="K39" i="38"/>
  <c r="B9" i="38"/>
  <c r="B6" i="38"/>
  <c r="B8" i="38"/>
  <c r="H15" i="38"/>
  <c r="I32" i="39"/>
  <c r="P46" i="39"/>
  <c r="N47" i="39"/>
  <c r="P58" i="39"/>
  <c r="P15" i="39"/>
  <c r="P15" i="38" s="1"/>
  <c r="U16" i="39"/>
  <c r="Q46" i="39"/>
  <c r="P47" i="39"/>
  <c r="H32" i="39"/>
  <c r="H46" i="39"/>
  <c r="H46" i="38" s="1"/>
  <c r="J15" i="39"/>
  <c r="H47" i="39"/>
  <c r="H47" i="38" s="1"/>
  <c r="U15" i="39"/>
  <c r="U24" i="39"/>
  <c r="K46" i="39"/>
  <c r="K46" i="38" s="1"/>
  <c r="L15" i="39"/>
  <c r="M46" i="39"/>
  <c r="K47" i="39"/>
  <c r="K47" i="38" s="1"/>
  <c r="A63" i="39"/>
  <c r="Q47" i="39"/>
  <c r="N46" i="39"/>
  <c r="M15" i="39" l="1"/>
  <c r="L15" i="38"/>
  <c r="K15" i="39"/>
  <c r="K15" i="38" s="1"/>
  <c r="J15" i="38"/>
  <c r="S46" i="39"/>
  <c r="R46" i="39"/>
  <c r="I46" i="39"/>
  <c r="I46" i="38" s="1"/>
  <c r="I47" i="39"/>
  <c r="I47" i="38" s="1"/>
  <c r="R47" i="39"/>
  <c r="S47" i="39"/>
  <c r="H45" i="39"/>
  <c r="H45" i="38" s="1"/>
  <c r="P32" i="39"/>
  <c r="Q15" i="39"/>
  <c r="Q15" i="38" s="1"/>
  <c r="S15" i="39" l="1"/>
  <c r="S15" i="38" s="1"/>
  <c r="N15" i="39"/>
  <c r="N15" i="38" s="1"/>
  <c r="H48" i="39"/>
  <c r="H48" i="38" s="1"/>
  <c r="K32" i="39"/>
  <c r="K45" i="39" s="1"/>
  <c r="M32" i="39"/>
  <c r="M15" i="38"/>
  <c r="R15" i="39"/>
  <c r="R15" i="38" s="1"/>
  <c r="Q32" i="39"/>
  <c r="P45" i="39"/>
  <c r="I45" i="39"/>
  <c r="S45" i="39"/>
  <c r="R45" i="39"/>
  <c r="S32" i="39"/>
  <c r="H59" i="39" l="1"/>
  <c r="H63" i="39" s="1"/>
  <c r="H63" i="38" s="1"/>
  <c r="N32" i="39"/>
  <c r="N45" i="39" s="1"/>
  <c r="N45" i="38" s="1"/>
  <c r="M45" i="39"/>
  <c r="M45" i="38" s="1"/>
  <c r="K48" i="39"/>
  <c r="K45" i="38"/>
  <c r="I48" i="39"/>
  <c r="I45" i="38"/>
  <c r="P48" i="39"/>
  <c r="P59" i="39" s="1"/>
  <c r="P45" i="38"/>
  <c r="Q45" i="39"/>
  <c r="R32" i="39"/>
  <c r="H64" i="39" l="1"/>
  <c r="H64" i="38" s="1"/>
  <c r="N48" i="39"/>
  <c r="N59" i="39" s="1"/>
  <c r="N63" i="39" s="1"/>
  <c r="N63" i="38" s="1"/>
  <c r="M48" i="39"/>
  <c r="M59" i="39" s="1"/>
  <c r="M63" i="39" s="1"/>
  <c r="M63" i="38" s="1"/>
  <c r="Q48" i="39"/>
  <c r="Q59" i="39" s="1"/>
  <c r="Q59" i="38" s="1"/>
  <c r="Q45" i="38"/>
  <c r="I59" i="39"/>
  <c r="I48" i="38"/>
  <c r="K59" i="39"/>
  <c r="K48" i="38"/>
  <c r="P61" i="39"/>
  <c r="P61" i="38" s="1"/>
  <c r="P64" i="39"/>
  <c r="P64" i="38" s="1"/>
  <c r="P63" i="39"/>
  <c r="P63" i="38" s="1"/>
  <c r="R48" i="39" l="1"/>
  <c r="R59" i="39"/>
  <c r="R59" i="38" s="1"/>
  <c r="M64" i="39"/>
  <c r="M64" i="38" s="1"/>
  <c r="H6" i="39"/>
  <c r="N64" i="39"/>
  <c r="N64" i="38" s="1"/>
  <c r="I64" i="39"/>
  <c r="I64" i="38" s="1"/>
  <c r="I63" i="39"/>
  <c r="I63" i="38" s="1"/>
  <c r="K64" i="39"/>
  <c r="K64" i="38" s="1"/>
  <c r="K63" i="39"/>
  <c r="K63" i="38" s="1"/>
  <c r="S59" i="39"/>
  <c r="S59" i="38" s="1"/>
  <c r="Q61" i="39"/>
  <c r="S61" i="39"/>
  <c r="S61" i="38" s="1"/>
  <c r="Q64" i="39"/>
  <c r="Q63" i="39"/>
  <c r="R64" i="39" l="1"/>
  <c r="R64" i="38" s="1"/>
  <c r="Q64" i="38"/>
  <c r="R61" i="39"/>
  <c r="R61" i="38" s="1"/>
  <c r="Q61" i="38"/>
  <c r="R63" i="39"/>
  <c r="R63" i="38" s="1"/>
  <c r="Q63" i="38"/>
  <c r="U30" i="38" l="1"/>
  <c r="M47" i="38"/>
  <c r="S57" i="38"/>
  <c r="R57" i="38"/>
  <c r="U55" i="38"/>
  <c r="S55" i="38"/>
  <c r="R55" i="38"/>
  <c r="Q55" i="38"/>
  <c r="P55" i="38"/>
  <c r="N55" i="38"/>
  <c r="M55" i="38"/>
  <c r="K55" i="38"/>
  <c r="I55" i="38"/>
  <c r="H55" i="38"/>
  <c r="U54" i="38"/>
  <c r="S54" i="38"/>
  <c r="R54" i="38"/>
  <c r="Q54" i="38"/>
  <c r="P54" i="38"/>
  <c r="N54" i="38"/>
  <c r="M54" i="38"/>
  <c r="K54" i="38"/>
  <c r="I54" i="38"/>
  <c r="H54" i="38"/>
  <c r="U53" i="38"/>
  <c r="S53" i="38"/>
  <c r="R53" i="38"/>
  <c r="Q53" i="38"/>
  <c r="P53" i="38"/>
  <c r="N53" i="38"/>
  <c r="M53" i="38"/>
  <c r="K53" i="38"/>
  <c r="I53" i="38"/>
  <c r="H53" i="38"/>
  <c r="U52" i="38"/>
  <c r="Q52" i="38"/>
  <c r="P52" i="38"/>
  <c r="N52" i="38"/>
  <c r="M52" i="38"/>
  <c r="K52" i="38"/>
  <c r="I52" i="38"/>
  <c r="H52" i="38"/>
  <c r="U51" i="38"/>
  <c r="Q51" i="38"/>
  <c r="P51" i="38"/>
  <c r="N51" i="38"/>
  <c r="M51" i="38"/>
  <c r="K51" i="38"/>
  <c r="I51" i="38"/>
  <c r="H51" i="38"/>
  <c r="U42" i="38"/>
  <c r="U41" i="38"/>
  <c r="U40" i="38"/>
  <c r="U39" i="38"/>
  <c r="U38" i="38"/>
  <c r="U37" i="38"/>
  <c r="U36" i="38"/>
  <c r="U31" i="38"/>
  <c r="U29" i="38"/>
  <c r="U28" i="38"/>
  <c r="U26" i="38"/>
  <c r="U24" i="38"/>
  <c r="E8" i="38"/>
  <c r="H56" i="38" l="1"/>
  <c r="P43" i="38"/>
  <c r="R43" i="38" s="1"/>
  <c r="H43" i="38"/>
  <c r="U27" i="38"/>
  <c r="U25" i="38"/>
  <c r="U23" i="38"/>
  <c r="I56" i="38"/>
  <c r="K43" i="38"/>
  <c r="S43" i="38" s="1"/>
  <c r="E7" i="38"/>
  <c r="Q47" i="38"/>
  <c r="P46" i="38"/>
  <c r="N47" i="38"/>
  <c r="P58" i="38"/>
  <c r="Q46" i="38"/>
  <c r="P47" i="38"/>
  <c r="U15" i="38"/>
  <c r="M46" i="38"/>
  <c r="N46" i="38"/>
  <c r="Q43" i="38" l="1"/>
  <c r="N43" i="38"/>
  <c r="M43" i="38"/>
  <c r="I43" i="38"/>
  <c r="G46" i="33"/>
  <c r="O46" i="33" s="1"/>
  <c r="H46" i="33" l="1"/>
  <c r="R46" i="33" s="1"/>
  <c r="B11" i="39" l="1"/>
  <c r="B11" i="38" s="1"/>
  <c r="B10" i="40"/>
  <c r="AQ37" i="32"/>
  <c r="M31" i="32"/>
  <c r="M27" i="32"/>
  <c r="M36" i="32"/>
  <c r="M35" i="32"/>
  <c r="M34" i="32"/>
  <c r="M33" i="32"/>
  <c r="M32" i="32"/>
  <c r="M30" i="32"/>
  <c r="M29" i="32"/>
  <c r="M28" i="32"/>
  <c r="M26" i="32"/>
  <c r="M25" i="32"/>
  <c r="M24" i="32"/>
  <c r="M21" i="32"/>
  <c r="M19" i="32"/>
  <c r="M16" i="32"/>
  <c r="M15" i="32"/>
  <c r="M14" i="32"/>
  <c r="M13" i="32"/>
  <c r="M12" i="32"/>
  <c r="M11" i="32"/>
  <c r="M10" i="32"/>
  <c r="M9" i="32"/>
  <c r="M8" i="32"/>
  <c r="M7" i="32"/>
  <c r="M6" i="32"/>
  <c r="M5" i="32"/>
  <c r="M4" i="32"/>
  <c r="M3" i="32"/>
  <c r="K37" i="32"/>
  <c r="B20" i="14" l="1"/>
  <c r="G45" i="33" l="1"/>
  <c r="O45" i="33" s="1"/>
  <c r="G44" i="33"/>
  <c r="O44" i="33" s="1"/>
  <c r="G43" i="33"/>
  <c r="H43" i="33" s="1"/>
  <c r="R43" i="33" s="1"/>
  <c r="G42" i="33"/>
  <c r="H42" i="33" s="1"/>
  <c r="R42" i="33" s="1"/>
  <c r="G41" i="33"/>
  <c r="H41" i="33" s="1"/>
  <c r="R41" i="33" s="1"/>
  <c r="G40" i="33"/>
  <c r="O40" i="33" s="1"/>
  <c r="G39" i="33"/>
  <c r="H39" i="33" s="1"/>
  <c r="R39" i="33" s="1"/>
  <c r="G38" i="33"/>
  <c r="O38" i="33" s="1"/>
  <c r="G37" i="33"/>
  <c r="O37" i="33" s="1"/>
  <c r="G36" i="33"/>
  <c r="O36" i="33" s="1"/>
  <c r="G35" i="33"/>
  <c r="O35" i="33" s="1"/>
  <c r="G32" i="33"/>
  <c r="O32" i="33" s="1"/>
  <c r="L4" i="32"/>
  <c r="L5" i="32"/>
  <c r="L7" i="32"/>
  <c r="L8" i="32"/>
  <c r="L9" i="32"/>
  <c r="L10" i="32"/>
  <c r="L11" i="32"/>
  <c r="L12" i="32"/>
  <c r="L13" i="32"/>
  <c r="L14" i="32"/>
  <c r="L15" i="32"/>
  <c r="L16" i="32"/>
  <c r="L19" i="32"/>
  <c r="L21" i="32"/>
  <c r="L3" i="32"/>
  <c r="H35" i="33" l="1"/>
  <c r="R35" i="33" s="1"/>
  <c r="H38" i="33"/>
  <c r="R38" i="33" s="1"/>
  <c r="H36" i="33"/>
  <c r="R36" i="33" s="1"/>
  <c r="H45" i="33"/>
  <c r="R45" i="33" s="1"/>
  <c r="H44" i="33"/>
  <c r="R44" i="33" s="1"/>
  <c r="O43" i="33"/>
  <c r="O42" i="33"/>
  <c r="O41" i="33"/>
  <c r="H40" i="33"/>
  <c r="R40" i="33" s="1"/>
  <c r="O39" i="33"/>
  <c r="H37" i="33"/>
  <c r="R37" i="33" s="1"/>
  <c r="H32" i="33"/>
  <c r="R32" i="33" s="1"/>
  <c r="S57" i="34" l="1"/>
  <c r="S59" i="40" s="1"/>
  <c r="R57" i="34"/>
  <c r="R59" i="40" s="1"/>
  <c r="U55" i="34"/>
  <c r="S55" i="34"/>
  <c r="R55" i="34"/>
  <c r="Q55" i="34"/>
  <c r="P55" i="34"/>
  <c r="N55" i="34"/>
  <c r="M55" i="34"/>
  <c r="K55" i="34"/>
  <c r="I55" i="34"/>
  <c r="H55" i="34"/>
  <c r="U54" i="34"/>
  <c r="S54" i="34"/>
  <c r="R54" i="34"/>
  <c r="Q54" i="34"/>
  <c r="P54" i="34"/>
  <c r="N54" i="34"/>
  <c r="M54" i="34"/>
  <c r="K54" i="34"/>
  <c r="I54" i="34"/>
  <c r="H54" i="34"/>
  <c r="U53" i="34"/>
  <c r="S53" i="34"/>
  <c r="R53" i="34"/>
  <c r="Q53" i="34"/>
  <c r="P53" i="34"/>
  <c r="N53" i="34"/>
  <c r="M53" i="34"/>
  <c r="K53" i="34"/>
  <c r="I53" i="34"/>
  <c r="H53" i="34"/>
  <c r="U52" i="34"/>
  <c r="Q52" i="34"/>
  <c r="P52" i="34"/>
  <c r="N52" i="34"/>
  <c r="M52" i="34"/>
  <c r="K52" i="34"/>
  <c r="I52" i="34"/>
  <c r="H52" i="34"/>
  <c r="U51" i="34"/>
  <c r="Q51" i="34"/>
  <c r="P51" i="34"/>
  <c r="N51" i="34"/>
  <c r="M51" i="34"/>
  <c r="K51" i="34"/>
  <c r="I51" i="34"/>
  <c r="H51" i="34"/>
  <c r="U42" i="34"/>
  <c r="S42" i="34"/>
  <c r="S42" i="40" s="1"/>
  <c r="R42" i="34"/>
  <c r="R42" i="40" s="1"/>
  <c r="Q42" i="34"/>
  <c r="Q42" i="40" s="1"/>
  <c r="P42" i="34"/>
  <c r="P42" i="40" s="1"/>
  <c r="N42" i="34"/>
  <c r="N42" i="40" s="1"/>
  <c r="M42" i="34"/>
  <c r="M42" i="40" s="1"/>
  <c r="K42" i="34"/>
  <c r="K42" i="40" s="1"/>
  <c r="I42" i="34"/>
  <c r="I42" i="40" s="1"/>
  <c r="H42" i="34"/>
  <c r="H42" i="40" s="1"/>
  <c r="U41" i="34"/>
  <c r="S41" i="34"/>
  <c r="S41" i="40" s="1"/>
  <c r="R41" i="34"/>
  <c r="R41" i="40" s="1"/>
  <c r="Q41" i="34"/>
  <c r="Q41" i="40" s="1"/>
  <c r="P41" i="34"/>
  <c r="P41" i="40" s="1"/>
  <c r="N41" i="34"/>
  <c r="N41" i="40" s="1"/>
  <c r="M41" i="34"/>
  <c r="M41" i="40" s="1"/>
  <c r="K41" i="34"/>
  <c r="K41" i="40" s="1"/>
  <c r="I41" i="34"/>
  <c r="I41" i="40" s="1"/>
  <c r="H41" i="34"/>
  <c r="H41" i="40" s="1"/>
  <c r="U40" i="34"/>
  <c r="S40" i="34"/>
  <c r="S40" i="40" s="1"/>
  <c r="R40" i="34"/>
  <c r="R40" i="40" s="1"/>
  <c r="Q40" i="34"/>
  <c r="Q40" i="40" s="1"/>
  <c r="P40" i="34"/>
  <c r="P40" i="40" s="1"/>
  <c r="N40" i="34"/>
  <c r="N40" i="40" s="1"/>
  <c r="M40" i="34"/>
  <c r="M40" i="40" s="1"/>
  <c r="K40" i="34"/>
  <c r="K40" i="40" s="1"/>
  <c r="I40" i="34"/>
  <c r="I40" i="40" s="1"/>
  <c r="H40" i="34"/>
  <c r="H40" i="40" s="1"/>
  <c r="U39" i="34"/>
  <c r="H39" i="34"/>
  <c r="H39" i="40" s="1"/>
  <c r="U38" i="34"/>
  <c r="H38" i="34"/>
  <c r="H38" i="40" s="1"/>
  <c r="H37" i="34"/>
  <c r="H37" i="40" s="1"/>
  <c r="H36" i="34"/>
  <c r="H36" i="40" s="1"/>
  <c r="U31" i="34"/>
  <c r="S31" i="34"/>
  <c r="S31" i="40" s="1"/>
  <c r="R31" i="34"/>
  <c r="R31" i="40" s="1"/>
  <c r="Q31" i="34"/>
  <c r="Q31" i="40" s="1"/>
  <c r="P31" i="34"/>
  <c r="P31" i="40" s="1"/>
  <c r="N31" i="34"/>
  <c r="N31" i="40" s="1"/>
  <c r="M31" i="34"/>
  <c r="M31" i="40" s="1"/>
  <c r="L31" i="34"/>
  <c r="L31" i="40" s="1"/>
  <c r="K31" i="34"/>
  <c r="K31" i="40" s="1"/>
  <c r="J31" i="34"/>
  <c r="J31" i="40" s="1"/>
  <c r="I31" i="34"/>
  <c r="I31" i="40" s="1"/>
  <c r="U30" i="34"/>
  <c r="Q30" i="34"/>
  <c r="Q30" i="40" s="1"/>
  <c r="P30" i="34"/>
  <c r="P30" i="40" s="1"/>
  <c r="U29" i="34"/>
  <c r="P29" i="34"/>
  <c r="P29" i="40" s="1"/>
  <c r="U28" i="34"/>
  <c r="U27" i="34"/>
  <c r="U26" i="34"/>
  <c r="U25" i="34"/>
  <c r="B8" i="34"/>
  <c r="B7" i="34"/>
  <c r="E6" i="34"/>
  <c r="B5" i="34"/>
  <c r="U37" i="34" s="1"/>
  <c r="B2" i="40"/>
  <c r="B1" i="34"/>
  <c r="B1" i="40" s="1"/>
  <c r="B10" i="34"/>
  <c r="U36" i="34" l="1"/>
  <c r="M39" i="34"/>
  <c r="M39" i="40" s="1"/>
  <c r="P39" i="34"/>
  <c r="I39" i="34"/>
  <c r="K39" i="34" s="1"/>
  <c r="I38" i="34"/>
  <c r="M38" i="34"/>
  <c r="M38" i="40" s="1"/>
  <c r="P38" i="34"/>
  <c r="P37" i="34"/>
  <c r="P37" i="40" s="1"/>
  <c r="I37" i="34"/>
  <c r="M37" i="34"/>
  <c r="M37" i="40" s="1"/>
  <c r="M36" i="34"/>
  <c r="M36" i="40" s="1"/>
  <c r="I36" i="34"/>
  <c r="P36" i="34"/>
  <c r="J16" i="34"/>
  <c r="L15" i="34"/>
  <c r="L16" i="34"/>
  <c r="J15" i="34"/>
  <c r="H56" i="34"/>
  <c r="L14" i="34"/>
  <c r="L14" i="40" s="1"/>
  <c r="B5" i="40"/>
  <c r="H43" i="40"/>
  <c r="A63" i="34"/>
  <c r="B8" i="40"/>
  <c r="B8" i="14"/>
  <c r="B7" i="40"/>
  <c r="E7" i="40" s="1"/>
  <c r="E7" i="34"/>
  <c r="Q29" i="34"/>
  <c r="Q29" i="40" s="1"/>
  <c r="H43" i="34"/>
  <c r="I56" i="34"/>
  <c r="U24" i="34"/>
  <c r="U23" i="34"/>
  <c r="V32" i="34"/>
  <c r="A64" i="34"/>
  <c r="H32" i="34"/>
  <c r="U14" i="34"/>
  <c r="P58" i="34"/>
  <c r="P58" i="40" s="1"/>
  <c r="I14" i="34"/>
  <c r="I14" i="40" s="1"/>
  <c r="I32" i="40" s="1"/>
  <c r="P14" i="34"/>
  <c r="P14" i="40" s="1"/>
  <c r="P32" i="40" s="1"/>
  <c r="J14" i="34"/>
  <c r="J14" i="40" s="1"/>
  <c r="H45" i="34" l="1"/>
  <c r="I45" i="34" s="1"/>
  <c r="I45" i="40" s="1"/>
  <c r="H46" i="34"/>
  <c r="H47" i="34"/>
  <c r="I47" i="34" s="1"/>
  <c r="K39" i="40"/>
  <c r="N39" i="34"/>
  <c r="N39" i="40" s="1"/>
  <c r="I39" i="40"/>
  <c r="P39" i="40"/>
  <c r="Q39" i="34"/>
  <c r="S39" i="34"/>
  <c r="S39" i="40" s="1"/>
  <c r="I38" i="40"/>
  <c r="K38" i="34"/>
  <c r="S38" i="34" s="1"/>
  <c r="S38" i="40" s="1"/>
  <c r="I43" i="34"/>
  <c r="P38" i="40"/>
  <c r="Q38" i="34"/>
  <c r="P43" i="34"/>
  <c r="N36" i="34"/>
  <c r="N36" i="40" s="1"/>
  <c r="M43" i="40"/>
  <c r="M43" i="34"/>
  <c r="I37" i="40"/>
  <c r="K37" i="34"/>
  <c r="S37" i="34" s="1"/>
  <c r="S37" i="40" s="1"/>
  <c r="Q37" i="34"/>
  <c r="P36" i="40"/>
  <c r="Q36" i="34"/>
  <c r="I36" i="40"/>
  <c r="K36" i="34"/>
  <c r="J15" i="40"/>
  <c r="K15" i="34"/>
  <c r="L16" i="40"/>
  <c r="M16" i="34"/>
  <c r="L15" i="40"/>
  <c r="M15" i="34"/>
  <c r="J16" i="40"/>
  <c r="K16" i="34"/>
  <c r="M14" i="34"/>
  <c r="M14" i="40" s="1"/>
  <c r="A21" i="14"/>
  <c r="B21" i="14" s="1"/>
  <c r="U25" i="40"/>
  <c r="U38" i="40"/>
  <c r="U42" i="40"/>
  <c r="U28" i="40"/>
  <c r="U24" i="40"/>
  <c r="U40" i="40"/>
  <c r="U37" i="40"/>
  <c r="U41" i="40"/>
  <c r="U26" i="40"/>
  <c r="U29" i="40"/>
  <c r="U23" i="40"/>
  <c r="U14" i="40"/>
  <c r="U30" i="40"/>
  <c r="U31" i="40"/>
  <c r="U27" i="40"/>
  <c r="U36" i="40"/>
  <c r="U39" i="40"/>
  <c r="A64" i="40"/>
  <c r="A63" i="40"/>
  <c r="H67" i="34"/>
  <c r="K14" i="34"/>
  <c r="I32" i="34"/>
  <c r="R46" i="34"/>
  <c r="R48" i="40" s="1"/>
  <c r="S46" i="34"/>
  <c r="S48" i="40" s="1"/>
  <c r="P32" i="34"/>
  <c r="P46" i="34" l="1"/>
  <c r="P46" i="40" s="1"/>
  <c r="P45" i="34"/>
  <c r="P47" i="34"/>
  <c r="I46" i="34"/>
  <c r="I46" i="40" s="1"/>
  <c r="H46" i="40"/>
  <c r="Q14" i="34"/>
  <c r="Q14" i="40" s="1"/>
  <c r="P43" i="40"/>
  <c r="Q39" i="40"/>
  <c r="R39" i="34"/>
  <c r="R39" i="40" s="1"/>
  <c r="Q38" i="40"/>
  <c r="R38" i="34"/>
  <c r="R38" i="40" s="1"/>
  <c r="K38" i="40"/>
  <c r="N38" i="34"/>
  <c r="N38" i="40" s="1"/>
  <c r="I43" i="40"/>
  <c r="Q37" i="40"/>
  <c r="R37" i="34"/>
  <c r="R37" i="40" s="1"/>
  <c r="K37" i="40"/>
  <c r="N37" i="34"/>
  <c r="K36" i="40"/>
  <c r="K43" i="34"/>
  <c r="S43" i="34" s="1"/>
  <c r="S45" i="40" s="1"/>
  <c r="Q36" i="40"/>
  <c r="R36" i="34"/>
  <c r="R36" i="40" s="1"/>
  <c r="Q43" i="34"/>
  <c r="R43" i="34" s="1"/>
  <c r="R45" i="40" s="1"/>
  <c r="S36" i="34"/>
  <c r="S36" i="40" s="1"/>
  <c r="M15" i="40"/>
  <c r="Q15" i="34"/>
  <c r="M16" i="40"/>
  <c r="Q16" i="34"/>
  <c r="K15" i="40"/>
  <c r="N15" i="34"/>
  <c r="N15" i="40" s="1"/>
  <c r="S15" i="34"/>
  <c r="S15" i="40" s="1"/>
  <c r="K16" i="40"/>
  <c r="S16" i="34"/>
  <c r="S16" i="40" s="1"/>
  <c r="N16" i="34"/>
  <c r="N16" i="40" s="1"/>
  <c r="H47" i="40"/>
  <c r="H45" i="40"/>
  <c r="M32" i="34"/>
  <c r="P45" i="40"/>
  <c r="P47" i="40"/>
  <c r="S14" i="34"/>
  <c r="S14" i="40" s="1"/>
  <c r="K14" i="40"/>
  <c r="C24" i="14"/>
  <c r="H48" i="34"/>
  <c r="I48" i="34" s="1"/>
  <c r="K32" i="34"/>
  <c r="N14" i="34"/>
  <c r="N14" i="40" s="1"/>
  <c r="R14" i="34"/>
  <c r="R14" i="40" s="1"/>
  <c r="G26" i="33"/>
  <c r="H26" i="33" s="1"/>
  <c r="R26" i="33" s="1"/>
  <c r="K45" i="34" l="1"/>
  <c r="K45" i="40" s="1"/>
  <c r="K47" i="34"/>
  <c r="K47" i="40" s="1"/>
  <c r="K46" i="34"/>
  <c r="K46" i="40" s="1"/>
  <c r="M47" i="34"/>
  <c r="M47" i="40" s="1"/>
  <c r="M45" i="34"/>
  <c r="M45" i="40" s="1"/>
  <c r="M46" i="34"/>
  <c r="M46" i="40" s="1"/>
  <c r="Q32" i="34"/>
  <c r="R32" i="34" s="1"/>
  <c r="M32" i="40"/>
  <c r="Q43" i="40"/>
  <c r="R43" i="40" s="1"/>
  <c r="K43" i="40"/>
  <c r="S43" i="40" s="1"/>
  <c r="N37" i="40"/>
  <c r="N43" i="40" s="1"/>
  <c r="N43" i="34"/>
  <c r="N32" i="40"/>
  <c r="K32" i="40"/>
  <c r="S32" i="40" s="1"/>
  <c r="R16" i="34"/>
  <c r="R16" i="40" s="1"/>
  <c r="Q16" i="40"/>
  <c r="R15" i="34"/>
  <c r="R15" i="40" s="1"/>
  <c r="Q15" i="40"/>
  <c r="D24" i="14"/>
  <c r="I59" i="34"/>
  <c r="I47" i="40"/>
  <c r="H59" i="34"/>
  <c r="H64" i="34" s="1"/>
  <c r="H48" i="40"/>
  <c r="H59" i="40" s="1"/>
  <c r="N32" i="34"/>
  <c r="P48" i="34"/>
  <c r="E24" i="14"/>
  <c r="S32" i="34"/>
  <c r="O26" i="33"/>
  <c r="G27" i="33"/>
  <c r="H27" i="33" s="1"/>
  <c r="R27" i="33" s="1"/>
  <c r="G25" i="33"/>
  <c r="H25" i="33" s="1"/>
  <c r="R25" i="33" s="1"/>
  <c r="G24" i="33"/>
  <c r="H24" i="33" s="1"/>
  <c r="R24" i="33" s="1"/>
  <c r="G22" i="33"/>
  <c r="O22" i="33" s="1"/>
  <c r="G21" i="33"/>
  <c r="H21" i="33" s="1"/>
  <c r="R21" i="33" s="1"/>
  <c r="Q73" i="33"/>
  <c r="T71" i="33"/>
  <c r="Q71" i="33"/>
  <c r="P71" i="33"/>
  <c r="O71" i="33"/>
  <c r="M71" i="33"/>
  <c r="L71" i="33"/>
  <c r="J71" i="33"/>
  <c r="H71" i="33"/>
  <c r="G71" i="33"/>
  <c r="T70" i="33"/>
  <c r="Q70" i="33"/>
  <c r="P70" i="33"/>
  <c r="O70" i="33"/>
  <c r="M70" i="33"/>
  <c r="L70" i="33"/>
  <c r="J70" i="33"/>
  <c r="H70" i="33"/>
  <c r="G70" i="33"/>
  <c r="T69" i="33"/>
  <c r="Q69" i="33"/>
  <c r="P69" i="33"/>
  <c r="O69" i="33"/>
  <c r="M69" i="33"/>
  <c r="L69" i="33"/>
  <c r="J69" i="33"/>
  <c r="H69" i="33"/>
  <c r="G69" i="33"/>
  <c r="T68" i="33"/>
  <c r="P68" i="33"/>
  <c r="O68" i="33"/>
  <c r="M68" i="33"/>
  <c r="L68" i="33"/>
  <c r="J68" i="33"/>
  <c r="H68" i="33"/>
  <c r="G68" i="33"/>
  <c r="T67" i="33"/>
  <c r="P67" i="33"/>
  <c r="O67" i="33"/>
  <c r="M67" i="33"/>
  <c r="L67" i="33"/>
  <c r="J67" i="33"/>
  <c r="H67" i="33"/>
  <c r="G67" i="33"/>
  <c r="T58" i="33"/>
  <c r="Q58" i="33"/>
  <c r="P58" i="33"/>
  <c r="O58" i="33"/>
  <c r="M58" i="33"/>
  <c r="L58" i="33"/>
  <c r="J58" i="33"/>
  <c r="H58" i="33"/>
  <c r="G58" i="33"/>
  <c r="T57" i="33"/>
  <c r="Q57" i="33"/>
  <c r="P57" i="33"/>
  <c r="O57" i="33"/>
  <c r="M57" i="33"/>
  <c r="L57" i="33"/>
  <c r="J57" i="33"/>
  <c r="H57" i="33"/>
  <c r="G57" i="33"/>
  <c r="T56" i="33"/>
  <c r="Q56" i="33"/>
  <c r="P56" i="33"/>
  <c r="O56" i="33"/>
  <c r="M56" i="33"/>
  <c r="L56" i="33"/>
  <c r="J56" i="33"/>
  <c r="H56" i="33"/>
  <c r="G56" i="33"/>
  <c r="T55" i="33"/>
  <c r="Q55" i="33"/>
  <c r="P55" i="33"/>
  <c r="O55" i="33"/>
  <c r="M55" i="33"/>
  <c r="L55" i="33"/>
  <c r="J55" i="33"/>
  <c r="H55" i="33"/>
  <c r="G55" i="33"/>
  <c r="T54" i="33"/>
  <c r="Q54" i="33"/>
  <c r="P54" i="33"/>
  <c r="O54" i="33"/>
  <c r="M54" i="33"/>
  <c r="L54" i="33"/>
  <c r="J54" i="33"/>
  <c r="H54" i="33"/>
  <c r="G54" i="33"/>
  <c r="T53" i="33"/>
  <c r="Q53" i="33"/>
  <c r="P53" i="33"/>
  <c r="O53" i="33"/>
  <c r="M53" i="33"/>
  <c r="L53" i="33"/>
  <c r="J53" i="33"/>
  <c r="H53" i="33"/>
  <c r="G53" i="33"/>
  <c r="T52" i="33"/>
  <c r="Q52" i="33"/>
  <c r="P52" i="33"/>
  <c r="O52" i="33"/>
  <c r="M52" i="33"/>
  <c r="L52" i="33"/>
  <c r="J52" i="33"/>
  <c r="H52" i="33"/>
  <c r="G52" i="33"/>
  <c r="G47" i="33"/>
  <c r="O47" i="33" s="1"/>
  <c r="G30" i="33"/>
  <c r="H30" i="33" s="1"/>
  <c r="R30" i="33" s="1"/>
  <c r="G20" i="33"/>
  <c r="O20" i="33" s="1"/>
  <c r="G19" i="33"/>
  <c r="O19" i="33" s="1"/>
  <c r="G18" i="33"/>
  <c r="O18" i="33" s="1"/>
  <c r="G17" i="33"/>
  <c r="H17" i="33" s="1"/>
  <c r="R17" i="33" s="1"/>
  <c r="G16" i="33"/>
  <c r="O16" i="33" s="1"/>
  <c r="G15" i="33"/>
  <c r="H15" i="33" s="1"/>
  <c r="R15" i="33" s="1"/>
  <c r="G14" i="33"/>
  <c r="O14" i="33" s="1"/>
  <c r="B8" i="33"/>
  <c r="A80" i="33" s="1"/>
  <c r="B7" i="33"/>
  <c r="D7" i="33" s="1"/>
  <c r="B6" i="33"/>
  <c r="D6" i="33" s="1"/>
  <c r="B5" i="33"/>
  <c r="B4" i="33"/>
  <c r="B2" i="33"/>
  <c r="B1" i="33"/>
  <c r="H72" i="33" l="1"/>
  <c r="Q47" i="34"/>
  <c r="Q47" i="40" s="1"/>
  <c r="Q46" i="34"/>
  <c r="Q46" i="40" s="1"/>
  <c r="Q45" i="34"/>
  <c r="Q45" i="40" s="1"/>
  <c r="N45" i="34"/>
  <c r="N45" i="40" s="1"/>
  <c r="N47" i="34"/>
  <c r="N47" i="40" s="1"/>
  <c r="N46" i="34"/>
  <c r="N46" i="40" s="1"/>
  <c r="S45" i="34"/>
  <c r="S47" i="40" s="1"/>
  <c r="S47" i="34"/>
  <c r="R47" i="34"/>
  <c r="R45" i="34"/>
  <c r="R47" i="40" s="1"/>
  <c r="Q32" i="40"/>
  <c r="R32" i="40" s="1"/>
  <c r="M48" i="34"/>
  <c r="M48" i="40" s="1"/>
  <c r="B24" i="14"/>
  <c r="I63" i="34"/>
  <c r="I48" i="40"/>
  <c r="I59" i="40" s="1"/>
  <c r="I64" i="40" s="1"/>
  <c r="H63" i="34"/>
  <c r="I64" i="34"/>
  <c r="P59" i="34"/>
  <c r="P63" i="34" s="1"/>
  <c r="P48" i="40"/>
  <c r="P59" i="40" s="1"/>
  <c r="H63" i="40"/>
  <c r="H64" i="40"/>
  <c r="I23" i="33"/>
  <c r="J23" i="33" s="1"/>
  <c r="K23" i="33"/>
  <c r="L23" i="33" s="1"/>
  <c r="P23" i="33" s="1"/>
  <c r="Q23" i="33" s="1"/>
  <c r="K31" i="33"/>
  <c r="L31" i="33" s="1"/>
  <c r="P31" i="33" s="1"/>
  <c r="Q31" i="33" s="1"/>
  <c r="I33" i="33"/>
  <c r="J33" i="33" s="1"/>
  <c r="K28" i="33"/>
  <c r="L28" i="33" s="1"/>
  <c r="P28" i="33" s="1"/>
  <c r="Q28" i="33" s="1"/>
  <c r="I28" i="33"/>
  <c r="J28" i="33" s="1"/>
  <c r="K33" i="33"/>
  <c r="L33" i="33" s="1"/>
  <c r="P33" i="33" s="1"/>
  <c r="Q33" i="33" s="1"/>
  <c r="I31" i="33"/>
  <c r="J31" i="33" s="1"/>
  <c r="K34" i="33"/>
  <c r="L34" i="33" s="1"/>
  <c r="P34" i="33" s="1"/>
  <c r="Q34" i="33" s="1"/>
  <c r="I34" i="33"/>
  <c r="J34" i="33" s="1"/>
  <c r="K29" i="33"/>
  <c r="L29" i="33" s="1"/>
  <c r="P29" i="33" s="1"/>
  <c r="Q29" i="33" s="1"/>
  <c r="I29" i="33"/>
  <c r="J29" i="33" s="1"/>
  <c r="T47" i="33"/>
  <c r="K46" i="33"/>
  <c r="L46" i="33" s="1"/>
  <c r="P46" i="33" s="1"/>
  <c r="Q46" i="33" s="1"/>
  <c r="I46" i="33"/>
  <c r="J46" i="33" s="1"/>
  <c r="H47" i="33"/>
  <c r="R47" i="33" s="1"/>
  <c r="I47" i="33"/>
  <c r="K47" i="33"/>
  <c r="L47" i="33" s="1"/>
  <c r="P47" i="33" s="1"/>
  <c r="Q47" i="33" s="1"/>
  <c r="O17" i="33"/>
  <c r="G72" i="33"/>
  <c r="O15" i="33"/>
  <c r="M59" i="33"/>
  <c r="J59" i="33"/>
  <c r="H59" i="33"/>
  <c r="L59" i="33"/>
  <c r="K24" i="33"/>
  <c r="L24" i="33" s="1"/>
  <c r="I41" i="33"/>
  <c r="J41" i="33" s="1"/>
  <c r="K36" i="33"/>
  <c r="L36" i="33" s="1"/>
  <c r="P36" i="33" s="1"/>
  <c r="Q36" i="33" s="1"/>
  <c r="K37" i="33"/>
  <c r="L37" i="33" s="1"/>
  <c r="P37" i="33" s="1"/>
  <c r="Q37" i="33" s="1"/>
  <c r="I39" i="33"/>
  <c r="J39" i="33" s="1"/>
  <c r="K43" i="33"/>
  <c r="L43" i="33" s="1"/>
  <c r="P43" i="33" s="1"/>
  <c r="Q43" i="33" s="1"/>
  <c r="K38" i="33"/>
  <c r="L38" i="33" s="1"/>
  <c r="P38" i="33" s="1"/>
  <c r="Q38" i="33" s="1"/>
  <c r="I36" i="33"/>
  <c r="J36" i="33" s="1"/>
  <c r="K32" i="33"/>
  <c r="L32" i="33" s="1"/>
  <c r="P32" i="33" s="1"/>
  <c r="Q32" i="33" s="1"/>
  <c r="I42" i="33"/>
  <c r="J42" i="33" s="1"/>
  <c r="K35" i="33"/>
  <c r="L35" i="33" s="1"/>
  <c r="P35" i="33" s="1"/>
  <c r="Q35" i="33" s="1"/>
  <c r="I44" i="33"/>
  <c r="J44" i="33" s="1"/>
  <c r="K45" i="33"/>
  <c r="L45" i="33" s="1"/>
  <c r="P45" i="33" s="1"/>
  <c r="Q45" i="33" s="1"/>
  <c r="I43" i="33"/>
  <c r="J43" i="33" s="1"/>
  <c r="K40" i="33"/>
  <c r="L40" i="33" s="1"/>
  <c r="P40" i="33" s="1"/>
  <c r="Q40" i="33" s="1"/>
  <c r="I38" i="33"/>
  <c r="J38" i="33" s="1"/>
  <c r="I32" i="33"/>
  <c r="J32" i="33" s="1"/>
  <c r="I37" i="33"/>
  <c r="J37" i="33" s="1"/>
  <c r="K41" i="33"/>
  <c r="L41" i="33" s="1"/>
  <c r="P41" i="33" s="1"/>
  <c r="Q41" i="33" s="1"/>
  <c r="I45" i="33"/>
  <c r="J45" i="33" s="1"/>
  <c r="I40" i="33"/>
  <c r="J40" i="33" s="1"/>
  <c r="K42" i="33"/>
  <c r="L42" i="33" s="1"/>
  <c r="P42" i="33" s="1"/>
  <c r="Q42" i="33" s="1"/>
  <c r="K39" i="33"/>
  <c r="L39" i="33" s="1"/>
  <c r="P39" i="33" s="1"/>
  <c r="Q39" i="33" s="1"/>
  <c r="K44" i="33"/>
  <c r="L44" i="33" s="1"/>
  <c r="P44" i="33" s="1"/>
  <c r="Q44" i="33" s="1"/>
  <c r="I35" i="33"/>
  <c r="J35" i="33" s="1"/>
  <c r="P59" i="33"/>
  <c r="G59" i="33"/>
  <c r="O59" i="33"/>
  <c r="Q59" i="33" s="1"/>
  <c r="O24" i="33"/>
  <c r="K48" i="34"/>
  <c r="K19" i="33"/>
  <c r="L19" i="33" s="1"/>
  <c r="P19" i="33" s="1"/>
  <c r="Q19" i="33" s="1"/>
  <c r="I17" i="33"/>
  <c r="J17" i="33" s="1"/>
  <c r="T25" i="33"/>
  <c r="K15" i="33"/>
  <c r="L15" i="33" s="1"/>
  <c r="T19" i="33"/>
  <c r="I16" i="33"/>
  <c r="T18" i="33"/>
  <c r="I30" i="33"/>
  <c r="J30" i="33" s="1"/>
  <c r="I21" i="33"/>
  <c r="J21" i="33" s="1"/>
  <c r="I14" i="33"/>
  <c r="K30" i="33"/>
  <c r="L30" i="33" s="1"/>
  <c r="K21" i="33"/>
  <c r="L21" i="33" s="1"/>
  <c r="K14" i="33"/>
  <c r="L14" i="33" s="1"/>
  <c r="P14" i="33" s="1"/>
  <c r="I19" i="33"/>
  <c r="T30" i="33"/>
  <c r="T21" i="33"/>
  <c r="K25" i="33"/>
  <c r="L25" i="33" s="1"/>
  <c r="K17" i="33"/>
  <c r="L17" i="33" s="1"/>
  <c r="T22" i="33"/>
  <c r="I27" i="33"/>
  <c r="J27" i="33" s="1"/>
  <c r="T15" i="33"/>
  <c r="T17" i="33"/>
  <c r="T20" i="33"/>
  <c r="I24" i="33"/>
  <c r="J24" i="33" s="1"/>
  <c r="K27" i="33"/>
  <c r="L27" i="33" s="1"/>
  <c r="T26" i="33"/>
  <c r="K26" i="33"/>
  <c r="L26" i="33" s="1"/>
  <c r="P26" i="33" s="1"/>
  <c r="Q26" i="33" s="1"/>
  <c r="I26" i="33"/>
  <c r="J26" i="33" s="1"/>
  <c r="T14" i="33"/>
  <c r="K16" i="33"/>
  <c r="L16" i="33" s="1"/>
  <c r="P16" i="33" s="1"/>
  <c r="Q16" i="33" s="1"/>
  <c r="T24" i="33"/>
  <c r="T27" i="33"/>
  <c r="I18" i="33"/>
  <c r="I22" i="33"/>
  <c r="T16" i="33"/>
  <c r="I20" i="33"/>
  <c r="I15" i="33"/>
  <c r="J15" i="33" s="1"/>
  <c r="K18" i="33"/>
  <c r="L18" i="33" s="1"/>
  <c r="P18" i="33" s="1"/>
  <c r="Q18" i="33" s="1"/>
  <c r="K20" i="33"/>
  <c r="L20" i="33" s="1"/>
  <c r="P20" i="33" s="1"/>
  <c r="Q20" i="33" s="1"/>
  <c r="K22" i="33"/>
  <c r="L22" i="33" s="1"/>
  <c r="P22" i="33" s="1"/>
  <c r="Q22" i="33" s="1"/>
  <c r="I25" i="33"/>
  <c r="J25" i="33" s="1"/>
  <c r="O30" i="33"/>
  <c r="O27" i="33"/>
  <c r="O25" i="33"/>
  <c r="H22" i="33"/>
  <c r="R22" i="33" s="1"/>
  <c r="O21" i="33"/>
  <c r="H20" i="33"/>
  <c r="R20" i="33" s="1"/>
  <c r="H19" i="33"/>
  <c r="R19" i="33" s="1"/>
  <c r="H18" i="33"/>
  <c r="R18" i="33" s="1"/>
  <c r="H16" i="33"/>
  <c r="R16" i="33" s="1"/>
  <c r="H14" i="33"/>
  <c r="G48" i="33"/>
  <c r="O62" i="33"/>
  <c r="O74" i="33"/>
  <c r="G62" i="33"/>
  <c r="G63" i="33"/>
  <c r="H63" i="33" s="1"/>
  <c r="A79" i="33"/>
  <c r="Q48" i="34" l="1"/>
  <c r="Q48" i="40" s="1"/>
  <c r="Q59" i="40" s="1"/>
  <c r="Q63" i="40" s="1"/>
  <c r="I63" i="40"/>
  <c r="P64" i="34"/>
  <c r="P61" i="34"/>
  <c r="B16" i="14" s="1"/>
  <c r="K59" i="34"/>
  <c r="K48" i="40"/>
  <c r="K59" i="40" s="1"/>
  <c r="P61" i="40"/>
  <c r="P64" i="40"/>
  <c r="P63" i="40"/>
  <c r="N48" i="34"/>
  <c r="M23" i="33"/>
  <c r="M34" i="33"/>
  <c r="M31" i="33"/>
  <c r="M29" i="33"/>
  <c r="M33" i="33"/>
  <c r="M28" i="33"/>
  <c r="P15" i="33"/>
  <c r="Q15" i="33" s="1"/>
  <c r="M46" i="33"/>
  <c r="J47" i="33"/>
  <c r="M47" i="33" s="1"/>
  <c r="M43" i="33"/>
  <c r="M38" i="33"/>
  <c r="M32" i="33"/>
  <c r="M36" i="33"/>
  <c r="M35" i="33"/>
  <c r="M37" i="33"/>
  <c r="M42" i="33"/>
  <c r="M41" i="33"/>
  <c r="P24" i="33"/>
  <c r="Q24" i="33" s="1"/>
  <c r="M45" i="33"/>
  <c r="M44" i="33"/>
  <c r="P25" i="33"/>
  <c r="Q25" i="33" s="1"/>
  <c r="M40" i="33"/>
  <c r="M39" i="33"/>
  <c r="M17" i="33"/>
  <c r="M30" i="33"/>
  <c r="M15" i="33"/>
  <c r="J20" i="33"/>
  <c r="J22" i="33"/>
  <c r="M22" i="33" s="1"/>
  <c r="J16" i="33"/>
  <c r="M27" i="33"/>
  <c r="M21" i="33"/>
  <c r="M24" i="33"/>
  <c r="P17" i="33"/>
  <c r="Q17" i="33" s="1"/>
  <c r="J14" i="33"/>
  <c r="R14" i="33" s="1"/>
  <c r="J19" i="33"/>
  <c r="M19" i="33" s="1"/>
  <c r="J18" i="33"/>
  <c r="M26" i="33"/>
  <c r="M25" i="33"/>
  <c r="P30" i="33"/>
  <c r="Q30" i="33" s="1"/>
  <c r="P27" i="33"/>
  <c r="Q27" i="33" s="1"/>
  <c r="O48" i="33"/>
  <c r="P21" i="33"/>
  <c r="Q21" i="33" s="1"/>
  <c r="H48" i="33"/>
  <c r="Q14" i="33"/>
  <c r="L48" i="33"/>
  <c r="L62" i="33" s="1"/>
  <c r="G61" i="33"/>
  <c r="G64" i="33" s="1"/>
  <c r="G75" i="33" s="1"/>
  <c r="Q62" i="33"/>
  <c r="Q63" i="33"/>
  <c r="H62" i="33"/>
  <c r="O61" i="33" l="1"/>
  <c r="O63" i="33"/>
  <c r="R48" i="34"/>
  <c r="S61" i="34"/>
  <c r="H5" i="34"/>
  <c r="Q64" i="40"/>
  <c r="R64" i="40" s="1"/>
  <c r="Q59" i="34"/>
  <c r="Q63" i="34" s="1"/>
  <c r="R63" i="34" s="1"/>
  <c r="S59" i="34"/>
  <c r="S61" i="40" s="1"/>
  <c r="G24" i="14"/>
  <c r="K63" i="34"/>
  <c r="R63" i="40"/>
  <c r="H24" i="14"/>
  <c r="K64" i="34"/>
  <c r="H5" i="40"/>
  <c r="K64" i="40"/>
  <c r="K63" i="40"/>
  <c r="N59" i="34"/>
  <c r="N63" i="34" s="1"/>
  <c r="N48" i="40"/>
  <c r="N59" i="40" s="1"/>
  <c r="L61" i="33"/>
  <c r="L63" i="33"/>
  <c r="M20" i="33"/>
  <c r="M14" i="33"/>
  <c r="P48" i="33"/>
  <c r="M16" i="33"/>
  <c r="J48" i="33"/>
  <c r="J62" i="33" s="1"/>
  <c r="M18" i="33"/>
  <c r="O64" i="33"/>
  <c r="H61" i="33"/>
  <c r="H64" i="33" s="1"/>
  <c r="H75" i="33" s="1"/>
  <c r="Q61" i="33"/>
  <c r="G79" i="33"/>
  <c r="G80" i="33"/>
  <c r="B10" i="33"/>
  <c r="Q48" i="33" l="1"/>
  <c r="P62" i="33"/>
  <c r="R59" i="34"/>
  <c r="R61" i="40" s="1"/>
  <c r="Q64" i="34"/>
  <c r="R64" i="34" s="1"/>
  <c r="N64" i="34"/>
  <c r="N64" i="40"/>
  <c r="N63" i="40"/>
  <c r="L64" i="33"/>
  <c r="O75" i="33"/>
  <c r="O80" i="33" s="1"/>
  <c r="P61" i="33"/>
  <c r="P63" i="33"/>
  <c r="J61" i="33"/>
  <c r="J63" i="33"/>
  <c r="M48" i="33"/>
  <c r="M62" i="33" s="1"/>
  <c r="H80" i="33"/>
  <c r="H79" i="33"/>
  <c r="J64" i="33" l="1"/>
  <c r="J75" i="33" s="1"/>
  <c r="J79" i="33" s="1"/>
  <c r="P64" i="33"/>
  <c r="O79" i="33"/>
  <c r="O77" i="33"/>
  <c r="G5" i="33" s="1"/>
  <c r="M61" i="33"/>
  <c r="M63" i="33"/>
  <c r="P75" i="33" l="1"/>
  <c r="P79" i="33" s="1"/>
  <c r="Q79" i="33" s="1"/>
  <c r="Q64" i="33"/>
  <c r="J80" i="33"/>
  <c r="M64" i="33"/>
  <c r="M75" i="33" s="1"/>
  <c r="D6" i="14"/>
  <c r="A64" i="38" l="1"/>
  <c r="A63" i="38"/>
  <c r="P80" i="33"/>
  <c r="Q80" i="33" s="1"/>
  <c r="Q75" i="33"/>
  <c r="M79" i="33"/>
  <c r="M80" i="33"/>
  <c r="O39" i="22"/>
  <c r="P39" i="22"/>
  <c r="Q39" i="22"/>
  <c r="M39" i="22"/>
  <c r="N39" i="22"/>
  <c r="J39" i="22"/>
  <c r="K39" i="22"/>
  <c r="L39" i="22"/>
  <c r="Q43" i="22"/>
  <c r="P43" i="22"/>
  <c r="O43" i="22"/>
  <c r="N43" i="22"/>
  <c r="M43" i="22"/>
  <c r="L43" i="22"/>
  <c r="K43" i="22"/>
  <c r="J43" i="22"/>
  <c r="A30" i="14"/>
  <c r="A29" i="14"/>
  <c r="B6" i="16"/>
  <c r="J34" i="22"/>
  <c r="K34" i="22"/>
  <c r="L34" i="22"/>
  <c r="M34" i="22"/>
  <c r="N34" i="22"/>
  <c r="O34" i="22"/>
  <c r="P34" i="22"/>
  <c r="Q34" i="22"/>
  <c r="J35" i="22"/>
  <c r="K35" i="22"/>
  <c r="L35" i="22"/>
  <c r="M35" i="22"/>
  <c r="N35" i="22"/>
  <c r="O35" i="22"/>
  <c r="P35" i="22"/>
  <c r="Q35" i="22"/>
  <c r="J36" i="22"/>
  <c r="K36" i="22"/>
  <c r="L36" i="22"/>
  <c r="M36" i="22"/>
  <c r="N36" i="22"/>
  <c r="O36" i="22"/>
  <c r="P36" i="22"/>
  <c r="Q36" i="22"/>
  <c r="J37" i="22"/>
  <c r="K37" i="22"/>
  <c r="L37" i="22"/>
  <c r="M37" i="22"/>
  <c r="N37" i="22"/>
  <c r="O37" i="22"/>
  <c r="P37" i="22"/>
  <c r="Q37" i="22"/>
  <c r="J38" i="22"/>
  <c r="K38" i="22"/>
  <c r="L38" i="22"/>
  <c r="M38" i="22"/>
  <c r="N38" i="22"/>
  <c r="O38" i="22"/>
  <c r="P38" i="22"/>
  <c r="Q38" i="22"/>
  <c r="J40" i="22"/>
  <c r="K40" i="22"/>
  <c r="L40" i="22"/>
  <c r="M40" i="22"/>
  <c r="N40" i="22"/>
  <c r="O40" i="22"/>
  <c r="P40" i="22"/>
  <c r="Q40" i="22"/>
  <c r="J41" i="22"/>
  <c r="K41" i="22"/>
  <c r="L41" i="22"/>
  <c r="M41" i="22"/>
  <c r="N41" i="22"/>
  <c r="O41" i="22"/>
  <c r="P41" i="22"/>
  <c r="Q41" i="22"/>
  <c r="J42" i="22"/>
  <c r="K42" i="22"/>
  <c r="L42" i="22"/>
  <c r="M42" i="22"/>
  <c r="N42" i="22"/>
  <c r="O42" i="22"/>
  <c r="P42" i="22"/>
  <c r="Q42" i="22"/>
  <c r="J44" i="22"/>
  <c r="K44" i="22"/>
  <c r="L44" i="22"/>
  <c r="M44" i="22"/>
  <c r="N44" i="22"/>
  <c r="O44" i="22"/>
  <c r="P44" i="22"/>
  <c r="Q44" i="22"/>
  <c r="J45" i="22"/>
  <c r="K45" i="22"/>
  <c r="L45" i="22"/>
  <c r="M45" i="22"/>
  <c r="N45" i="22"/>
  <c r="O45" i="22"/>
  <c r="P45" i="22"/>
  <c r="Q45" i="22"/>
  <c r="D18" i="14"/>
  <c r="D17" i="14"/>
  <c r="D5" i="14"/>
  <c r="E21" i="21"/>
  <c r="G21" i="21" s="1"/>
  <c r="G20" i="21"/>
  <c r="E19" i="21"/>
  <c r="G19" i="21" s="1"/>
  <c r="E18" i="21"/>
  <c r="G18" i="21" s="1"/>
  <c r="G17" i="21"/>
  <c r="E16" i="21"/>
  <c r="G16" i="21"/>
  <c r="E15" i="21"/>
  <c r="G15" i="21" s="1"/>
  <c r="G14" i="21"/>
  <c r="E13" i="21"/>
  <c r="G13" i="21" s="1"/>
  <c r="E12" i="21"/>
  <c r="G12" i="21" s="1"/>
  <c r="G11" i="21"/>
  <c r="E10" i="21"/>
  <c r="G10" i="21" s="1"/>
  <c r="E9" i="21"/>
  <c r="G9" i="21" s="1"/>
  <c r="G8" i="21"/>
  <c r="E7" i="21"/>
  <c r="G7" i="21" s="1"/>
  <c r="E6" i="21"/>
  <c r="G6" i="21" s="1"/>
  <c r="G5" i="21"/>
  <c r="E4" i="21"/>
  <c r="G4" i="21" s="1"/>
  <c r="I20" i="21"/>
  <c r="I17" i="21"/>
  <c r="I14" i="21"/>
  <c r="I11" i="21"/>
  <c r="I8" i="21"/>
  <c r="I5" i="21"/>
  <c r="I19" i="21"/>
  <c r="I16" i="21"/>
  <c r="I13" i="21"/>
  <c r="I10" i="21"/>
  <c r="I7" i="21"/>
  <c r="I4" i="21"/>
  <c r="C21" i="21"/>
  <c r="C18" i="21"/>
  <c r="C15" i="21"/>
  <c r="C12" i="21"/>
  <c r="C9" i="21"/>
  <c r="C6" i="21"/>
  <c r="C20" i="21"/>
  <c r="C17" i="21"/>
  <c r="C14" i="21"/>
  <c r="C11" i="21"/>
  <c r="C8" i="21"/>
  <c r="C5" i="21"/>
  <c r="A20" i="13"/>
  <c r="A21" i="13" s="1"/>
  <c r="A22" i="13" s="1"/>
  <c r="A23" i="13" s="1"/>
  <c r="A24" i="13" s="1"/>
  <c r="A25" i="13" s="1"/>
  <c r="A26" i="13" s="1"/>
  <c r="A27" i="13" s="1"/>
  <c r="A28" i="13" s="1"/>
  <c r="A5" i="13"/>
  <c r="A6" i="13" s="1"/>
  <c r="A7" i="13" s="1"/>
  <c r="A8" i="13" s="1"/>
  <c r="A9" i="13" s="1"/>
  <c r="A10" i="13" s="1"/>
  <c r="A11" i="13" s="1"/>
  <c r="A12" i="13" s="1"/>
  <c r="A13" i="13" s="1"/>
  <c r="M58" i="34" l="1"/>
  <c r="L74" i="33"/>
  <c r="L75" i="33" s="1"/>
  <c r="M58" i="40" l="1"/>
  <c r="M59" i="40" s="1"/>
  <c r="M59" i="34"/>
  <c r="B17" i="14" s="1"/>
  <c r="P32" i="38"/>
  <c r="H32" i="38"/>
  <c r="L79" i="33"/>
  <c r="L80" i="33"/>
  <c r="P77" i="33"/>
  <c r="Q77" i="33" s="1"/>
  <c r="I24" i="14" l="1"/>
  <c r="M64" i="34"/>
  <c r="M63" i="34"/>
  <c r="Q61" i="34"/>
  <c r="R61" i="34" s="1"/>
  <c r="M64" i="40"/>
  <c r="M63" i="40"/>
  <c r="Q61" i="40"/>
  <c r="M32" i="38"/>
  <c r="N32" i="38"/>
  <c r="K32" i="38"/>
  <c r="S32" i="38" s="1"/>
  <c r="I32" i="38"/>
  <c r="R46" i="38"/>
  <c r="S46" i="38"/>
  <c r="H59" i="38"/>
  <c r="R45" i="38"/>
  <c r="S45" i="38"/>
  <c r="R47" i="38"/>
  <c r="S47" i="38"/>
  <c r="Q32" i="38" l="1"/>
  <c r="R32" i="38" s="1"/>
  <c r="M48" i="38"/>
  <c r="M59" i="38" s="1"/>
  <c r="I59" i="38"/>
  <c r="P48" i="38"/>
  <c r="D27" i="14"/>
  <c r="C27" i="14"/>
  <c r="B27" i="14" l="1"/>
  <c r="P59" i="38"/>
  <c r="N48" i="38"/>
  <c r="N59" i="38" s="1"/>
  <c r="K59" i="38"/>
  <c r="Q48" i="38"/>
  <c r="R48" i="38" s="1"/>
  <c r="E27" i="14"/>
  <c r="L24" i="14"/>
  <c r="I27" i="14" l="1"/>
  <c r="J24" i="14"/>
  <c r="K24" i="14" s="1"/>
  <c r="H27" i="14" l="1"/>
  <c r="H6" i="38"/>
  <c r="B18" i="14"/>
  <c r="B19" i="14" s="1"/>
  <c r="C20" i="14" s="1"/>
  <c r="G27" i="14" l="1"/>
  <c r="L27" i="14" s="1"/>
  <c r="J27" i="14" l="1"/>
  <c r="K27" i="14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Glenn Berry</author>
    <author>maurm</author>
  </authors>
  <commentList>
    <comment ref="B14" authorId="0" shapeId="0" xr:uid="{00000000-0006-0000-0100-000001000000}">
      <text>
        <r>
          <rPr>
            <b/>
            <sz val="8"/>
            <color indexed="81"/>
            <rFont val="Tahoma"/>
            <family val="2"/>
          </rPr>
          <t>Pegasystems:</t>
        </r>
        <r>
          <rPr>
            <sz val="8"/>
            <color indexed="81"/>
            <rFont val="Tahoma"/>
            <family val="2"/>
          </rPr>
          <t xml:space="preserve">
Please specify names if the specific individual is a requirement.</t>
        </r>
      </text>
    </comment>
    <comment ref="H14" authorId="0" shapeId="0" xr:uid="{00000000-0006-0000-0100-000002000000}">
      <text>
        <r>
          <rPr>
            <b/>
            <sz val="8"/>
            <color indexed="81"/>
            <rFont val="Tahoma"/>
            <family val="2"/>
          </rPr>
          <t>Pegasystems:</t>
        </r>
        <r>
          <rPr>
            <sz val="8"/>
            <color indexed="81"/>
            <rFont val="Tahoma"/>
            <family val="2"/>
          </rPr>
          <t xml:space="preserve">
This column requires the Analysis Toolpack Add-In to be loaded into Excel.
Please go to: Tools, Add-Ins and load Analysis Toolpack if needed</t>
        </r>
      </text>
    </comment>
    <comment ref="B35" authorId="0" shapeId="0" xr:uid="{00000000-0006-0000-0100-000003000000}">
      <text>
        <r>
          <rPr>
            <b/>
            <sz val="8"/>
            <color indexed="81"/>
            <rFont val="Tahoma"/>
            <family val="2"/>
          </rPr>
          <t>Pegasystems:</t>
        </r>
        <r>
          <rPr>
            <sz val="8"/>
            <color indexed="81"/>
            <rFont val="Tahoma"/>
            <family val="2"/>
          </rPr>
          <t xml:space="preserve">
Please specify names if the specific individual is a requirement.</t>
        </r>
      </text>
    </comment>
    <comment ref="H35" authorId="0" shapeId="0" xr:uid="{00000000-0006-0000-0100-000004000000}">
      <text>
        <r>
          <rPr>
            <b/>
            <sz val="8"/>
            <color indexed="81"/>
            <rFont val="Tahoma"/>
            <family val="2"/>
          </rPr>
          <t>Pegasystems:</t>
        </r>
        <r>
          <rPr>
            <sz val="8"/>
            <color indexed="81"/>
            <rFont val="Tahoma"/>
            <family val="2"/>
          </rPr>
          <t xml:space="preserve">
This column requires the Analysis Toolpack Add-In to be loaded into Excel.
Please go to: Tools, Add-Ins and load Analysis Toolpack if needed</t>
        </r>
      </text>
    </comment>
    <comment ref="L35" authorId="1" shapeId="0" xr:uid="{00000000-0006-0000-0100-000005000000}">
      <text>
        <r>
          <rPr>
            <b/>
            <sz val="10"/>
            <color indexed="81"/>
            <rFont val="Tahoma"/>
            <family val="2"/>
          </rPr>
          <t>Pegasystems:</t>
        </r>
        <r>
          <rPr>
            <sz val="10"/>
            <color indexed="81"/>
            <rFont val="Tahoma"/>
            <family val="2"/>
          </rPr>
          <t xml:space="preserve">
Per Sub-Contractor Work Order.</t>
        </r>
      </text>
    </comment>
    <comment ref="H50" authorId="0" shapeId="0" xr:uid="{00000000-0006-0000-0100-000006000000}">
      <text>
        <r>
          <rPr>
            <b/>
            <sz val="8"/>
            <color indexed="81"/>
            <rFont val="Tahoma"/>
            <family val="2"/>
          </rPr>
          <t>Pegasystems:</t>
        </r>
        <r>
          <rPr>
            <sz val="8"/>
            <color indexed="81"/>
            <rFont val="Tahoma"/>
            <family val="2"/>
          </rPr>
          <t xml:space="preserve">
This column requires the Analysis Toolpack Add-In to be loaded into Excel.
Please go to: Tools, Add-Ins and load Analysis Toolpack if needed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Glenn Berry</author>
    <author>maurm</author>
  </authors>
  <commentList>
    <comment ref="H13" authorId="0" shapeId="0" xr:uid="{00000000-0006-0000-0200-000001000000}">
      <text>
        <r>
          <rPr>
            <b/>
            <sz val="8"/>
            <color indexed="81"/>
            <rFont val="Tahoma"/>
            <family val="2"/>
          </rPr>
          <t>Pegasystems:</t>
        </r>
        <r>
          <rPr>
            <sz val="8"/>
            <color indexed="81"/>
            <rFont val="Tahoma"/>
            <family val="2"/>
          </rPr>
          <t xml:space="preserve">
This column requires the Analysis Toolpack Add-In to be loaded into Excel.
Please go to: Tools, Add-Ins and load Analysis Toolpack if needed</t>
        </r>
      </text>
    </comment>
    <comment ref="B35" authorId="0" shapeId="0" xr:uid="{00000000-0006-0000-0200-000002000000}">
      <text>
        <r>
          <rPr>
            <b/>
            <sz val="8"/>
            <color indexed="81"/>
            <rFont val="Tahoma"/>
            <family val="2"/>
          </rPr>
          <t>Pegasystems:</t>
        </r>
        <r>
          <rPr>
            <sz val="8"/>
            <color indexed="81"/>
            <rFont val="Tahoma"/>
            <family val="2"/>
          </rPr>
          <t xml:space="preserve">
Please specify names if the specific individual is a requirement.</t>
        </r>
      </text>
    </comment>
    <comment ref="H35" authorId="0" shapeId="0" xr:uid="{00000000-0006-0000-0200-000003000000}">
      <text>
        <r>
          <rPr>
            <b/>
            <sz val="8"/>
            <color indexed="81"/>
            <rFont val="Tahoma"/>
            <family val="2"/>
          </rPr>
          <t>Pegasystems:</t>
        </r>
        <r>
          <rPr>
            <sz val="8"/>
            <color indexed="81"/>
            <rFont val="Tahoma"/>
            <family val="2"/>
          </rPr>
          <t xml:space="preserve">
This column requires the Analysis Toolpack Add-In to be loaded into Excel.
Please go to: Tools, Add-Ins and load Analysis Toolpack if needed</t>
        </r>
      </text>
    </comment>
    <comment ref="L35" authorId="1" shapeId="0" xr:uid="{00000000-0006-0000-0200-000004000000}">
      <text>
        <r>
          <rPr>
            <b/>
            <sz val="10"/>
            <color indexed="81"/>
            <rFont val="Tahoma"/>
            <family val="2"/>
          </rPr>
          <t>Pegasystems:</t>
        </r>
        <r>
          <rPr>
            <sz val="10"/>
            <color indexed="81"/>
            <rFont val="Tahoma"/>
            <family val="2"/>
          </rPr>
          <t xml:space="preserve">
Per Sub-Contractor Work Order.</t>
        </r>
      </text>
    </comment>
    <comment ref="H50" authorId="0" shapeId="0" xr:uid="{00000000-0006-0000-0200-000005000000}">
      <text>
        <r>
          <rPr>
            <b/>
            <sz val="8"/>
            <color indexed="81"/>
            <rFont val="Tahoma"/>
            <family val="2"/>
          </rPr>
          <t>Pegasystems:</t>
        </r>
        <r>
          <rPr>
            <sz val="8"/>
            <color indexed="81"/>
            <rFont val="Tahoma"/>
            <family val="2"/>
          </rPr>
          <t xml:space="preserve">
This column requires the Analysis Toolpack Add-In to be loaded into Excel.
Please go to: Tools, Add-Ins and load Analysis Toolpack if needed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Glenn Berry</author>
    <author>maurm</author>
  </authors>
  <commentList>
    <comment ref="H13" authorId="0" shapeId="0" xr:uid="{00000000-0006-0000-0500-000001000000}">
      <text>
        <r>
          <rPr>
            <b/>
            <sz val="8"/>
            <color indexed="81"/>
            <rFont val="Tahoma"/>
            <family val="2"/>
          </rPr>
          <t>Pegasystems:</t>
        </r>
        <r>
          <rPr>
            <sz val="8"/>
            <color indexed="81"/>
            <rFont val="Tahoma"/>
            <family val="2"/>
          </rPr>
          <t xml:space="preserve">
This column requires the Analysis Toolpack Add-In to be loaded into Excel.
Please go to: Tools, Add-Ins and load Analysis Toolpack if needed</t>
        </r>
      </text>
    </comment>
    <comment ref="B35" authorId="0" shapeId="0" xr:uid="{00000000-0006-0000-0500-000002000000}">
      <text>
        <r>
          <rPr>
            <b/>
            <sz val="8"/>
            <color indexed="81"/>
            <rFont val="Tahoma"/>
            <family val="2"/>
          </rPr>
          <t>Pegasystems:</t>
        </r>
        <r>
          <rPr>
            <sz val="8"/>
            <color indexed="81"/>
            <rFont val="Tahoma"/>
            <family val="2"/>
          </rPr>
          <t xml:space="preserve">
Please specify names if the specific individual is a requirement.</t>
        </r>
      </text>
    </comment>
    <comment ref="H35" authorId="0" shapeId="0" xr:uid="{00000000-0006-0000-0500-000003000000}">
      <text>
        <r>
          <rPr>
            <b/>
            <sz val="8"/>
            <color indexed="81"/>
            <rFont val="Tahoma"/>
            <family val="2"/>
          </rPr>
          <t>Pegasystems:</t>
        </r>
        <r>
          <rPr>
            <sz val="8"/>
            <color indexed="81"/>
            <rFont val="Tahoma"/>
            <family val="2"/>
          </rPr>
          <t xml:space="preserve">
This column requires the Analysis Toolpack Add-In to be loaded into Excel.
Please go to: Tools, Add-Ins and load Analysis Toolpack if needed</t>
        </r>
      </text>
    </comment>
    <comment ref="L35" authorId="1" shapeId="0" xr:uid="{00000000-0006-0000-0500-000004000000}">
      <text>
        <r>
          <rPr>
            <b/>
            <sz val="10"/>
            <color indexed="81"/>
            <rFont val="Tahoma"/>
            <family val="2"/>
          </rPr>
          <t>Pegasystems:</t>
        </r>
        <r>
          <rPr>
            <sz val="10"/>
            <color indexed="81"/>
            <rFont val="Tahoma"/>
            <family val="2"/>
          </rPr>
          <t xml:space="preserve">
Per Sub-Contractor Work Order.</t>
        </r>
      </text>
    </comment>
    <comment ref="H50" authorId="0" shapeId="0" xr:uid="{00000000-0006-0000-0500-000005000000}">
      <text>
        <r>
          <rPr>
            <b/>
            <sz val="8"/>
            <color indexed="81"/>
            <rFont val="Tahoma"/>
            <family val="2"/>
          </rPr>
          <t>Pegasystems:</t>
        </r>
        <r>
          <rPr>
            <sz val="8"/>
            <color indexed="81"/>
            <rFont val="Tahoma"/>
            <family val="2"/>
          </rPr>
          <t xml:space="preserve">
This column requires the Analysis Toolpack Add-In to be loaded into Excel.
Please go to: Tools, Add-Ins and load Analysis Toolpack if needed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Glenn Berry</author>
    <author>maurm</author>
  </authors>
  <commentList>
    <comment ref="B13" authorId="0" shapeId="0" xr:uid="{00000000-0006-0000-0600-000001000000}">
      <text>
        <r>
          <rPr>
            <b/>
            <sz val="8"/>
            <color indexed="81"/>
            <rFont val="Tahoma"/>
            <family val="2"/>
          </rPr>
          <t>Pegasystems:</t>
        </r>
        <r>
          <rPr>
            <sz val="8"/>
            <color indexed="81"/>
            <rFont val="Tahoma"/>
            <family val="2"/>
          </rPr>
          <t xml:space="preserve">
Please specify names if the specific individual is a requirement.</t>
        </r>
      </text>
    </comment>
    <comment ref="G13" authorId="0" shapeId="0" xr:uid="{00000000-0006-0000-0600-000002000000}">
      <text>
        <r>
          <rPr>
            <b/>
            <sz val="8"/>
            <color indexed="81"/>
            <rFont val="Tahoma"/>
            <family val="2"/>
          </rPr>
          <t>Pegasystems:</t>
        </r>
        <r>
          <rPr>
            <sz val="8"/>
            <color indexed="81"/>
            <rFont val="Tahoma"/>
            <family val="2"/>
          </rPr>
          <t xml:space="preserve">
This column requires the Analysis Toolpack Add-In to be loaded into Excel.
Please go to: Tools, Add-Ins and load Analysis Toolpack if needed</t>
        </r>
      </text>
    </comment>
    <comment ref="B51" authorId="0" shapeId="0" xr:uid="{00000000-0006-0000-0600-000003000000}">
      <text>
        <r>
          <rPr>
            <b/>
            <sz val="8"/>
            <color indexed="81"/>
            <rFont val="Tahoma"/>
            <family val="2"/>
          </rPr>
          <t>Pegasystems:</t>
        </r>
        <r>
          <rPr>
            <sz val="8"/>
            <color indexed="81"/>
            <rFont val="Tahoma"/>
            <family val="2"/>
          </rPr>
          <t xml:space="preserve">
Please specify names if the specific individual is a requirement.</t>
        </r>
      </text>
    </comment>
    <comment ref="G51" authorId="0" shapeId="0" xr:uid="{00000000-0006-0000-0600-000004000000}">
      <text>
        <r>
          <rPr>
            <b/>
            <sz val="8"/>
            <color indexed="81"/>
            <rFont val="Tahoma"/>
            <family val="2"/>
          </rPr>
          <t>Pegasystems:</t>
        </r>
        <r>
          <rPr>
            <sz val="8"/>
            <color indexed="81"/>
            <rFont val="Tahoma"/>
            <family val="2"/>
          </rPr>
          <t xml:space="preserve">
This column requires the Analysis Toolpack Add-In to be loaded into Excel.
Please go to: Tools, Add-Ins and load Analysis Toolpack if needed</t>
        </r>
      </text>
    </comment>
    <comment ref="K51" authorId="1" shapeId="0" xr:uid="{00000000-0006-0000-0600-000005000000}">
      <text>
        <r>
          <rPr>
            <b/>
            <sz val="10"/>
            <color indexed="81"/>
            <rFont val="Tahoma"/>
            <family val="2"/>
          </rPr>
          <t>Pegasystems:</t>
        </r>
        <r>
          <rPr>
            <sz val="10"/>
            <color indexed="81"/>
            <rFont val="Tahoma"/>
            <family val="2"/>
          </rPr>
          <t xml:space="preserve">
Per Sub-Contractor Work Order.</t>
        </r>
      </text>
    </comment>
    <comment ref="G66" authorId="0" shapeId="0" xr:uid="{00000000-0006-0000-0600-000006000000}">
      <text>
        <r>
          <rPr>
            <b/>
            <sz val="8"/>
            <color indexed="81"/>
            <rFont val="Tahoma"/>
            <family val="2"/>
          </rPr>
          <t>Pegasystems:</t>
        </r>
        <r>
          <rPr>
            <sz val="8"/>
            <color indexed="81"/>
            <rFont val="Tahoma"/>
            <family val="2"/>
          </rPr>
          <t xml:space="preserve">
This column requires the Analysis Toolpack Add-In to be loaded into Excel.
Please go to: Tools, Add-Ins and load Analysis Toolpack if needed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Glenn Berry</author>
    <author>maurm</author>
  </authors>
  <commentList>
    <comment ref="B14" authorId="0" shapeId="0" xr:uid="{00000000-0006-0000-0800-000001000000}">
      <text>
        <r>
          <rPr>
            <b/>
            <sz val="8"/>
            <color indexed="81"/>
            <rFont val="Tahoma"/>
            <family val="2"/>
          </rPr>
          <t>Pegasystems:</t>
        </r>
        <r>
          <rPr>
            <sz val="8"/>
            <color indexed="81"/>
            <rFont val="Tahoma"/>
            <family val="2"/>
          </rPr>
          <t xml:space="preserve">
Please specify names if the specific individual is a requirement.</t>
        </r>
      </text>
    </comment>
    <comment ref="H14" authorId="0" shapeId="0" xr:uid="{00000000-0006-0000-0800-000002000000}">
      <text>
        <r>
          <rPr>
            <b/>
            <sz val="8"/>
            <color indexed="81"/>
            <rFont val="Tahoma"/>
            <family val="2"/>
          </rPr>
          <t>Pegasystems:</t>
        </r>
        <r>
          <rPr>
            <sz val="8"/>
            <color indexed="81"/>
            <rFont val="Tahoma"/>
            <family val="2"/>
          </rPr>
          <t xml:space="preserve">
This column requires the Analysis Toolpack Add-In to be loaded into Excel.
Please go to: Tools, Add-Ins and load Analysis Toolpack if needed</t>
        </r>
      </text>
    </comment>
    <comment ref="B35" authorId="0" shapeId="0" xr:uid="{00000000-0006-0000-0800-000003000000}">
      <text>
        <r>
          <rPr>
            <b/>
            <sz val="8"/>
            <color indexed="81"/>
            <rFont val="Tahoma"/>
            <family val="2"/>
          </rPr>
          <t>Pegasystems:</t>
        </r>
        <r>
          <rPr>
            <sz val="8"/>
            <color indexed="81"/>
            <rFont val="Tahoma"/>
            <family val="2"/>
          </rPr>
          <t xml:space="preserve">
Please specify names if the specific individual is a requirement.</t>
        </r>
      </text>
    </comment>
    <comment ref="H35" authorId="0" shapeId="0" xr:uid="{00000000-0006-0000-0800-000004000000}">
      <text>
        <r>
          <rPr>
            <b/>
            <sz val="8"/>
            <color indexed="81"/>
            <rFont val="Tahoma"/>
            <family val="2"/>
          </rPr>
          <t>Pegasystems:</t>
        </r>
        <r>
          <rPr>
            <sz val="8"/>
            <color indexed="81"/>
            <rFont val="Tahoma"/>
            <family val="2"/>
          </rPr>
          <t xml:space="preserve">
This column requires the Analysis Toolpack Add-In to be loaded into Excel.
Please go to: Tools, Add-Ins and load Analysis Toolpack if needed</t>
        </r>
      </text>
    </comment>
    <comment ref="L35" authorId="1" shapeId="0" xr:uid="{00000000-0006-0000-0800-000005000000}">
      <text>
        <r>
          <rPr>
            <b/>
            <sz val="10"/>
            <color indexed="81"/>
            <rFont val="Tahoma"/>
            <family val="2"/>
          </rPr>
          <t>Pegasystems:</t>
        </r>
        <r>
          <rPr>
            <sz val="10"/>
            <color indexed="81"/>
            <rFont val="Tahoma"/>
            <family val="2"/>
          </rPr>
          <t xml:space="preserve">
Per Sub-Contractor Work Order.</t>
        </r>
      </text>
    </comment>
    <comment ref="H50" authorId="0" shapeId="0" xr:uid="{00000000-0006-0000-0800-000006000000}">
      <text>
        <r>
          <rPr>
            <b/>
            <sz val="8"/>
            <color indexed="81"/>
            <rFont val="Tahoma"/>
            <family val="2"/>
          </rPr>
          <t>Pegasystems:</t>
        </r>
        <r>
          <rPr>
            <sz val="8"/>
            <color indexed="81"/>
            <rFont val="Tahoma"/>
            <family val="2"/>
          </rPr>
          <t xml:space="preserve">
This column requires the Analysis Toolpack Add-In to be loaded into Excel.
Please go to: Tools, Add-Ins and load Analysis Toolpack if needed</t>
        </r>
      </text>
    </comment>
  </commentList>
</comments>
</file>

<file path=xl/sharedStrings.xml><?xml version="1.0" encoding="utf-8"?>
<sst xmlns="http://schemas.openxmlformats.org/spreadsheetml/2006/main" count="953" uniqueCount="276">
  <si>
    <t>Customer Name:</t>
  </si>
  <si>
    <t>Fixed Price</t>
  </si>
  <si>
    <t>Phase:</t>
  </si>
  <si>
    <t>Billing Type:</t>
  </si>
  <si>
    <t>Start:</t>
  </si>
  <si>
    <t>End:</t>
  </si>
  <si>
    <t>Quote or Estimate:</t>
  </si>
  <si>
    <t>Allocation</t>
  </si>
  <si>
    <t>Cost</t>
  </si>
  <si>
    <t>Roles</t>
  </si>
  <si>
    <t>List Price</t>
  </si>
  <si>
    <t>Pegasystems Subtotal</t>
  </si>
  <si>
    <t>Contractor</t>
  </si>
  <si>
    <t>Contractor Subtotal</t>
  </si>
  <si>
    <t>Contingency</t>
  </si>
  <si>
    <t>Risk</t>
  </si>
  <si>
    <t>Non-Reimbursable Expenses</t>
  </si>
  <si>
    <t>Project Total</t>
  </si>
  <si>
    <t>T&amp;M</t>
  </si>
  <si>
    <t>Staff Enhancement</t>
  </si>
  <si>
    <t>Days Effort</t>
  </si>
  <si>
    <t>List Margin</t>
  </si>
  <si>
    <t>Sales Price</t>
  </si>
  <si>
    <t>Margin (%)</t>
  </si>
  <si>
    <t>Discount %</t>
  </si>
  <si>
    <t>Reason</t>
  </si>
  <si>
    <t>Total</t>
  </si>
  <si>
    <t xml:space="preserve">Risks </t>
  </si>
  <si>
    <t>Assumptions</t>
  </si>
  <si>
    <t>Summary</t>
  </si>
  <si>
    <t>Total Price</t>
  </si>
  <si>
    <t>Total Cost</t>
  </si>
  <si>
    <t>Total Margin</t>
  </si>
  <si>
    <t>Margin %</t>
  </si>
  <si>
    <t>Practice Leader - NA</t>
  </si>
  <si>
    <t>Practice Leader - EU</t>
  </si>
  <si>
    <t>Practice Leader - AP</t>
  </si>
  <si>
    <t>Engagement Leader - NA</t>
  </si>
  <si>
    <t>Engagement Leader - EU</t>
  </si>
  <si>
    <t>Engagement Leader - AP</t>
  </si>
  <si>
    <t>Principal System Architect - NA</t>
  </si>
  <si>
    <t>Principal System Architect - EU</t>
  </si>
  <si>
    <t>Principal System Architect - AP</t>
  </si>
  <si>
    <t>Lead System Architect - NA</t>
  </si>
  <si>
    <t>Lead System Architect - EU</t>
  </si>
  <si>
    <t>Lead System Architect - AP</t>
  </si>
  <si>
    <t>Senior System Architect - NA</t>
  </si>
  <si>
    <t>Senior System Architect - EU</t>
  </si>
  <si>
    <t>Senior System Architect - AP</t>
  </si>
  <si>
    <t>System Architect - NA</t>
  </si>
  <si>
    <t>System Architect - EU</t>
  </si>
  <si>
    <t>System Architect - AP</t>
  </si>
  <si>
    <t>Role</t>
  </si>
  <si>
    <t>Name</t>
  </si>
  <si>
    <t>Start Date</t>
  </si>
  <si>
    <t>End Date</t>
  </si>
  <si>
    <t>Total List Fees</t>
  </si>
  <si>
    <t>Unit Cost</t>
  </si>
  <si>
    <t>Total Fees</t>
  </si>
  <si>
    <t>Direct Fees</t>
  </si>
  <si>
    <t>Sale Price</t>
  </si>
  <si>
    <t>USD</t>
  </si>
  <si>
    <t xml:space="preserve"> # Hours</t>
  </si>
  <si>
    <t>GBP</t>
  </si>
  <si>
    <t>EUR</t>
  </si>
  <si>
    <t>AUD</t>
  </si>
  <si>
    <t>PLGON/SA</t>
  </si>
  <si>
    <t>PLGON/SSA</t>
  </si>
  <si>
    <t>PLGOFF/SA</t>
  </si>
  <si>
    <t>PLGOFF/SSA</t>
  </si>
  <si>
    <t>Currency</t>
  </si>
  <si>
    <t>List</t>
  </si>
  <si>
    <t>Euro</t>
  </si>
  <si>
    <t>Conception</t>
  </si>
  <si>
    <t>Elaboration</t>
  </si>
  <si>
    <t>Construction</t>
  </si>
  <si>
    <t>Transition</t>
  </si>
  <si>
    <t>BSW cannot be approved without this worksheet being filled out</t>
  </si>
  <si>
    <t>Hrs Effort</t>
  </si>
  <si>
    <t>Daily Hours: 8 hrs or 9 hrs</t>
  </si>
  <si>
    <t>Hourly</t>
  </si>
  <si>
    <t xml:space="preserve">Amount </t>
  </si>
  <si>
    <t>USD to EURO</t>
  </si>
  <si>
    <t>USD to GBP</t>
  </si>
  <si>
    <t>USD to AUD</t>
  </si>
  <si>
    <t>GBP to AUD</t>
  </si>
  <si>
    <t>GBP to EUR</t>
  </si>
  <si>
    <t>New License Deal Y/N</t>
  </si>
  <si>
    <t>Estimate is requesting a RANGE only (LOW-HIGH).</t>
  </si>
  <si>
    <t>Method of Delivery</t>
  </si>
  <si>
    <t>What is the method of delivery - who is leading?</t>
  </si>
  <si>
    <t>Region</t>
  </si>
  <si>
    <t>Inception</t>
  </si>
  <si>
    <t>Practice Leader</t>
  </si>
  <si>
    <t>Engagement Leader</t>
  </si>
  <si>
    <t>Lead System Architect</t>
  </si>
  <si>
    <t>Senior System Architect</t>
  </si>
  <si>
    <t>System Architect</t>
  </si>
  <si>
    <t>Lead Business Architect</t>
  </si>
  <si>
    <t>Senior Business Architect</t>
  </si>
  <si>
    <t>Business Architect</t>
  </si>
  <si>
    <t>REGION-CURR</t>
  </si>
  <si>
    <t>NA-USD</t>
  </si>
  <si>
    <t>NA-GBP</t>
  </si>
  <si>
    <t>NA-EURO</t>
  </si>
  <si>
    <t>NA-AUD</t>
  </si>
  <si>
    <t>EU-USD</t>
  </si>
  <si>
    <t>EU-GBP</t>
  </si>
  <si>
    <t>EU-EURO</t>
  </si>
  <si>
    <t>EU-AUD</t>
  </si>
  <si>
    <t>APAC-USD</t>
  </si>
  <si>
    <t>APAC-GBP</t>
  </si>
  <si>
    <t>APAC-EURO</t>
  </si>
  <si>
    <t>APAC-AUD</t>
  </si>
  <si>
    <t>NA/USD cost</t>
  </si>
  <si>
    <t>USD/GBP</t>
  </si>
  <si>
    <t>USD/EUR</t>
  </si>
  <si>
    <t>USD/AUD</t>
  </si>
  <si>
    <t>GBP/USD</t>
  </si>
  <si>
    <t>GBP/AUD</t>
  </si>
  <si>
    <t>AUD/GBP</t>
  </si>
  <si>
    <t>AUD/EUR</t>
  </si>
  <si>
    <t>AUD/USD</t>
  </si>
  <si>
    <t>EUR/USD</t>
  </si>
  <si>
    <t>EUR/AUD</t>
  </si>
  <si>
    <t>NA/AUD cost</t>
  </si>
  <si>
    <t>NA/EUR cost</t>
  </si>
  <si>
    <t>EU/USD cost</t>
  </si>
  <si>
    <t>EU/AUD</t>
  </si>
  <si>
    <t>AP/USD</t>
  </si>
  <si>
    <t>AP/GBP</t>
  </si>
  <si>
    <t>AP/EUR</t>
  </si>
  <si>
    <t>NA</t>
  </si>
  <si>
    <t>EU</t>
  </si>
  <si>
    <t>APAC</t>
  </si>
  <si>
    <t>EURO</t>
  </si>
  <si>
    <t>Average Rate</t>
  </si>
  <si>
    <t>User Experience Architect</t>
  </si>
  <si>
    <t>Associate System Architect SPAIN</t>
  </si>
  <si>
    <t>Customer</t>
  </si>
  <si>
    <t>Subtotal Customer</t>
  </si>
  <si>
    <t>Subtotal Pega+Contractor</t>
  </si>
  <si>
    <t xml:space="preserve">Phase Summaries </t>
  </si>
  <si>
    <t>Effectiveness</t>
  </si>
  <si>
    <t>Market:</t>
  </si>
  <si>
    <t>Associate System Architect</t>
  </si>
  <si>
    <t>SPAIN</t>
  </si>
  <si>
    <t>FRANCE</t>
  </si>
  <si>
    <t>DACH</t>
  </si>
  <si>
    <t>AUS</t>
  </si>
  <si>
    <t>HONG KONG</t>
  </si>
  <si>
    <t>BENELUX</t>
  </si>
  <si>
    <t>Estimate +%</t>
  </si>
  <si>
    <t>Estimate -%</t>
  </si>
  <si>
    <t>Margin Target</t>
  </si>
  <si>
    <t>Deployment Architect</t>
  </si>
  <si>
    <t>JAPAN</t>
  </si>
  <si>
    <t>Engagement Name:</t>
  </si>
  <si>
    <t>Pega = Pega Led</t>
  </si>
  <si>
    <t>Partner = Partner Led</t>
  </si>
  <si>
    <t>Is this bid associated with a new SOFTWARE LICENSE?</t>
  </si>
  <si>
    <t>(If you enter Customer Name and Engagement Name here it will default to other tabs)</t>
  </si>
  <si>
    <t>Principal System Architect</t>
  </si>
  <si>
    <t>Principal Business Architect</t>
  </si>
  <si>
    <t>T&amp;M Risk</t>
  </si>
  <si>
    <t>Fixed Price Risk (+ additional)</t>
  </si>
  <si>
    <t>Additional Risk</t>
  </si>
  <si>
    <t>T&amp;M or Fixed Price</t>
  </si>
  <si>
    <t>UK-GBP</t>
  </si>
  <si>
    <t>UK-EURO</t>
  </si>
  <si>
    <t>Customer =  Customer Led (includes co-production model)</t>
  </si>
  <si>
    <t>RUSSIA</t>
  </si>
  <si>
    <t>RATE CARD</t>
  </si>
  <si>
    <t>USE THIS TAB WHEN YOU JUST NEED A RATE CARD FOR THE MSA</t>
  </si>
  <si>
    <t>UK-USD</t>
  </si>
  <si>
    <t>TURKEY-USD</t>
  </si>
  <si>
    <t>TURKEY-TKL</t>
  </si>
  <si>
    <t>Sprint Zero</t>
  </si>
  <si>
    <t>Sprint 1-N</t>
  </si>
  <si>
    <t>Sprint Z</t>
  </si>
  <si>
    <t>THESE RATES ARE NOT USED!!!!!!!!!!!!!!!!!!!</t>
  </si>
  <si>
    <t>NOT USED</t>
  </si>
  <si>
    <t xml:space="preserve">Sprint Z </t>
  </si>
  <si>
    <t>Engagement implementation type</t>
  </si>
  <si>
    <t>Account Name</t>
  </si>
  <si>
    <t>Organization</t>
  </si>
  <si>
    <t>Led By</t>
  </si>
  <si>
    <t>Engagement Methodology</t>
  </si>
  <si>
    <t>Enter Organization name</t>
  </si>
  <si>
    <t>Methodology of the Engagement</t>
  </si>
  <si>
    <t>Engagement Type</t>
  </si>
  <si>
    <t>TCP</t>
  </si>
  <si>
    <t>REGION</t>
  </si>
  <si>
    <t>TURKEY-TKY</t>
  </si>
  <si>
    <t>ITALY</t>
  </si>
  <si>
    <t>SWTZERLD-CHF</t>
  </si>
  <si>
    <t>SWTZERLD-EURO</t>
  </si>
  <si>
    <t>SWITZERLAND-EURO</t>
  </si>
  <si>
    <t>SWITZERLAND-CHF</t>
  </si>
  <si>
    <t>Discount%</t>
  </si>
  <si>
    <t>INVESTMENT</t>
  </si>
  <si>
    <t>NSC</t>
  </si>
  <si>
    <t>Organization Name</t>
  </si>
  <si>
    <t>Organization Name:</t>
  </si>
  <si>
    <t>TECHNICAL</t>
  </si>
  <si>
    <t>PL</t>
  </si>
  <si>
    <t>EL</t>
  </si>
  <si>
    <t>PSA</t>
  </si>
  <si>
    <t>PDA</t>
  </si>
  <si>
    <t>LSA</t>
  </si>
  <si>
    <t>LDA</t>
  </si>
  <si>
    <t>SSA</t>
  </si>
  <si>
    <t>SDA</t>
  </si>
  <si>
    <t>SA</t>
  </si>
  <si>
    <t>ASA</t>
  </si>
  <si>
    <t>PBA</t>
  </si>
  <si>
    <t>LBA</t>
  </si>
  <si>
    <t>SBA</t>
  </si>
  <si>
    <t>BA</t>
  </si>
  <si>
    <t>DC</t>
  </si>
  <si>
    <t>BMC</t>
  </si>
  <si>
    <t>UEA</t>
  </si>
  <si>
    <t>UID</t>
  </si>
  <si>
    <t>DA</t>
  </si>
  <si>
    <t>PA</t>
  </si>
  <si>
    <t>TA</t>
  </si>
  <si>
    <t>POLLSA</t>
  </si>
  <si>
    <t>POLSSA</t>
  </si>
  <si>
    <t>POLSA</t>
  </si>
  <si>
    <t>POLASA</t>
  </si>
  <si>
    <t>POLLSAOFF</t>
  </si>
  <si>
    <t>POLSSAOFF</t>
  </si>
  <si>
    <t>POLSAOFF</t>
  </si>
  <si>
    <t>POLASAOFF</t>
  </si>
  <si>
    <t>PELOFF</t>
  </si>
  <si>
    <t>PSBAOFF</t>
  </si>
  <si>
    <t>PLSAOFF</t>
  </si>
  <si>
    <t>PSSAOFF</t>
  </si>
  <si>
    <t>PSAOFF</t>
  </si>
  <si>
    <t>PASAOFF</t>
  </si>
  <si>
    <t>PLSAOFFUX</t>
  </si>
  <si>
    <t>DEPARTMENT</t>
  </si>
  <si>
    <t>Consulting</t>
  </si>
  <si>
    <t>BENELUX-USD</t>
  </si>
  <si>
    <t>Project Management</t>
  </si>
  <si>
    <t>Technical Services</t>
  </si>
  <si>
    <t>Poland</t>
  </si>
  <si>
    <t>INDIA</t>
  </si>
  <si>
    <t>VERSION DEC 2017</t>
  </si>
  <si>
    <t>Number in Role</t>
  </si>
  <si>
    <t>Type of Project</t>
  </si>
  <si>
    <t>NOTES</t>
  </si>
  <si>
    <t>PROJECT TYPE:</t>
  </si>
  <si>
    <t>contingency</t>
  </si>
  <si>
    <t>risk</t>
  </si>
  <si>
    <t>additional</t>
  </si>
  <si>
    <t>TOTAL</t>
  </si>
  <si>
    <t>BID</t>
  </si>
  <si>
    <t>SPRINTS</t>
  </si>
  <si>
    <t>Number in role</t>
  </si>
  <si>
    <t>INDIA (INR)</t>
  </si>
  <si>
    <t>SEK</t>
  </si>
  <si>
    <t>IDR</t>
  </si>
  <si>
    <t>INDIA-INR</t>
  </si>
  <si>
    <t>INDONESIA-IDR</t>
  </si>
  <si>
    <t>PLPP = Pega Led, Partner Powered</t>
  </si>
  <si>
    <t>PPAOFF</t>
  </si>
  <si>
    <r>
      <t>Select "</t>
    </r>
    <r>
      <rPr>
        <b/>
        <u/>
        <sz val="10"/>
        <color theme="0"/>
        <rFont val="Arial Narrow"/>
        <family val="2"/>
      </rPr>
      <t>SPRINTS</t>
    </r>
    <r>
      <rPr>
        <b/>
        <sz val="10"/>
        <color theme="0"/>
        <rFont val="Arial Narrow"/>
        <family val="2"/>
      </rPr>
      <t>" for PROJECT or Inception/Elaboraion/Construction/Transition (</t>
    </r>
    <r>
      <rPr>
        <b/>
        <u/>
        <sz val="10"/>
        <color theme="0"/>
        <rFont val="Arial Narrow"/>
        <family val="2"/>
      </rPr>
      <t>IECT</t>
    </r>
    <r>
      <rPr>
        <b/>
        <sz val="10"/>
        <color theme="0"/>
        <rFont val="Arial Narrow"/>
        <family val="2"/>
      </rPr>
      <t>) or SELECT "</t>
    </r>
    <r>
      <rPr>
        <b/>
        <u/>
        <sz val="10"/>
        <color theme="0"/>
        <rFont val="Arial Narrow"/>
        <family val="2"/>
      </rPr>
      <t>Staff Aug</t>
    </r>
    <r>
      <rPr>
        <b/>
        <sz val="10"/>
        <color theme="0"/>
        <rFont val="Arial Narrow"/>
        <family val="2"/>
      </rPr>
      <t>")</t>
    </r>
  </si>
  <si>
    <t>Quote</t>
  </si>
  <si>
    <t>N</t>
  </si>
  <si>
    <t>Com</t>
  </si>
  <si>
    <t>Cox</t>
  </si>
  <si>
    <t>CUSTOMER</t>
  </si>
  <si>
    <t>Agile</t>
  </si>
  <si>
    <t>Staff Augmentation</t>
  </si>
  <si>
    <t>ECR WITHOUT MEETING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</si>
</sst>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4">
    <numFmt numFmtId="42" formatCode="_(&quot;$&quot;* #,##0_);_(&quot;$&quot;* \(#,##0\);_(&quot;$&quot;* &quot;-&quot;_);_(@_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_(* #,##0_);_(* \(#,##0\);_(* &quot;-&quot;??_);_(@_)"/>
    <numFmt numFmtId="165" formatCode="0.0%"/>
    <numFmt numFmtId="166" formatCode="&quot;$&quot;#,##0"/>
    <numFmt numFmtId="167" formatCode="&quot;$&quot;#,##0.00"/>
    <numFmt numFmtId="168" formatCode="#,##0.0"/>
    <numFmt numFmtId="169" formatCode="0.0"/>
    <numFmt numFmtId="170" formatCode="[$-409]d\-mmm\-yy;@"/>
    <numFmt numFmtId="171" formatCode="[$£-809]#,##0"/>
    <numFmt numFmtId="172" formatCode="[$£-809]#,##0.00"/>
    <numFmt numFmtId="173" formatCode="[$€-2]\ #,##0.00"/>
    <numFmt numFmtId="174" formatCode="[$€-2]\ #,##0"/>
  </numFmts>
  <fonts count="30" x14ac:knownFonts="1">
    <font>
      <sz val="10"/>
      <name val="Times New Roman"/>
    </font>
    <font>
      <sz val="10"/>
      <name val="Times New Roman"/>
      <family val="1"/>
    </font>
    <font>
      <b/>
      <sz val="12"/>
      <name val="Arial"/>
      <family val="2"/>
    </font>
    <font>
      <b/>
      <sz val="10"/>
      <name val="Arial"/>
      <family val="2"/>
    </font>
    <font>
      <b/>
      <sz val="10"/>
      <name val="Times New Roman"/>
      <family val="1"/>
    </font>
    <font>
      <sz val="8"/>
      <color indexed="81"/>
      <name val="Tahoma"/>
      <family val="2"/>
    </font>
    <font>
      <b/>
      <sz val="8"/>
      <color indexed="81"/>
      <name val="Tahoma"/>
      <family val="2"/>
    </font>
    <font>
      <sz val="8"/>
      <name val="Times New Roman"/>
      <family val="1"/>
    </font>
    <font>
      <sz val="10"/>
      <name val="Arial Narrow"/>
      <family val="2"/>
    </font>
    <font>
      <b/>
      <sz val="10"/>
      <name val="Arial Narrow"/>
      <family val="2"/>
    </font>
    <font>
      <b/>
      <sz val="10"/>
      <color indexed="10"/>
      <name val="Arial Narrow"/>
      <family val="2"/>
    </font>
    <font>
      <b/>
      <sz val="12"/>
      <name val="Arial Narrow"/>
      <family val="2"/>
    </font>
    <font>
      <sz val="10"/>
      <name val="Arial"/>
      <family val="2"/>
    </font>
    <font>
      <b/>
      <u/>
      <sz val="10"/>
      <name val="Times New Roman"/>
      <family val="1"/>
    </font>
    <font>
      <sz val="10"/>
      <name val="Arial"/>
      <family val="2"/>
    </font>
    <font>
      <i/>
      <u/>
      <sz val="10"/>
      <name val="Arial"/>
      <family val="2"/>
    </font>
    <font>
      <sz val="10"/>
      <color indexed="81"/>
      <name val="Tahoma"/>
      <family val="2"/>
    </font>
    <font>
      <b/>
      <sz val="10"/>
      <color indexed="81"/>
      <name val="Tahoma"/>
      <family val="2"/>
    </font>
    <font>
      <u val="singleAccounting"/>
      <sz val="10"/>
      <name val="Arial Narrow"/>
      <family val="2"/>
    </font>
    <font>
      <b/>
      <u/>
      <sz val="10"/>
      <color indexed="10"/>
      <name val="Arial Narrow"/>
      <family val="2"/>
    </font>
    <font>
      <b/>
      <sz val="10"/>
      <color indexed="10"/>
      <name val="Times New Roman"/>
      <family val="1"/>
    </font>
    <font>
      <sz val="10"/>
      <name val="Times New Roman"/>
      <family val="1"/>
    </font>
    <font>
      <b/>
      <sz val="10"/>
      <color rgb="FFFF0000"/>
      <name val="Arial Narrow"/>
      <family val="2"/>
    </font>
    <font>
      <u/>
      <sz val="10"/>
      <name val="Arial Narrow"/>
      <family val="2"/>
    </font>
    <font>
      <sz val="10"/>
      <color theme="0"/>
      <name val="Arial Narrow"/>
      <family val="2"/>
    </font>
    <font>
      <b/>
      <sz val="10"/>
      <color theme="0"/>
      <name val="Arial Narrow"/>
      <family val="2"/>
    </font>
    <font>
      <sz val="10"/>
      <color theme="0" tint="-4.9989318521683403E-2"/>
      <name val="Arial Narrow"/>
      <family val="2"/>
    </font>
    <font>
      <b/>
      <u/>
      <sz val="10"/>
      <color theme="0"/>
      <name val="Arial Narrow"/>
      <family val="2"/>
    </font>
    <font>
      <b/>
      <sz val="10"/>
      <color theme="0"/>
      <name val="Times New Roman"/>
      <family val="1"/>
    </font>
    <font>
      <sz val="10"/>
      <color theme="0"/>
      <name val="Times New Roman"/>
      <family val="1"/>
    </font>
  </fonts>
  <fills count="15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0"/>
        <bgColor indexed="64"/>
      </patternFill>
    </fill>
  </fills>
  <borders count="24">
    <border>
      <left/>
      <right/>
      <top/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</borders>
  <cellStyleXfs count="7">
    <xf numFmtId="0" fontId="0" fillId="0" borderId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0" fontId="2" fillId="0" borderId="1" applyNumberFormat="0" applyAlignment="0" applyProtection="0">
      <alignment horizontal="left" vertical="center"/>
    </xf>
    <xf numFmtId="0" fontId="2" fillId="0" borderId="2">
      <alignment horizontal="left" vertical="center"/>
    </xf>
    <xf numFmtId="0" fontId="14" fillId="0" borderId="0"/>
    <xf numFmtId="9" fontId="1" fillId="0" borderId="0" applyFont="0" applyFill="0" applyBorder="0" applyAlignment="0" applyProtection="0"/>
  </cellStyleXfs>
  <cellXfs count="488">
    <xf numFmtId="0" fontId="0" fillId="0" borderId="0" xfId="0"/>
    <xf numFmtId="0" fontId="4" fillId="0" borderId="0" xfId="0" applyFont="1"/>
    <xf numFmtId="0" fontId="8" fillId="0" borderId="0" xfId="0" applyFont="1"/>
    <xf numFmtId="0" fontId="9" fillId="0" borderId="0" xfId="0" applyFont="1"/>
    <xf numFmtId="0" fontId="10" fillId="0" borderId="0" xfId="0" applyFont="1"/>
    <xf numFmtId="0" fontId="8" fillId="0" borderId="0" xfId="0" applyFont="1" applyAlignment="1">
      <alignment horizontal="center"/>
    </xf>
    <xf numFmtId="0" fontId="9" fillId="0" borderId="0" xfId="0" applyFont="1" applyAlignment="1">
      <alignment horizontal="center"/>
    </xf>
    <xf numFmtId="170" fontId="8" fillId="0" borderId="0" xfId="0" applyNumberFormat="1" applyFont="1"/>
    <xf numFmtId="9" fontId="8" fillId="0" borderId="0" xfId="6" applyFont="1"/>
    <xf numFmtId="4" fontId="8" fillId="0" borderId="0" xfId="6" applyNumberFormat="1" applyFont="1"/>
    <xf numFmtId="42" fontId="8" fillId="0" borderId="0" xfId="0" applyNumberFormat="1" applyFont="1"/>
    <xf numFmtId="0" fontId="8" fillId="0" borderId="3" xfId="0" applyFont="1" applyBorder="1"/>
    <xf numFmtId="0" fontId="9" fillId="0" borderId="3" xfId="0" applyFont="1" applyBorder="1"/>
    <xf numFmtId="0" fontId="9" fillId="0" borderId="3" xfId="0" applyFont="1" applyBorder="1" applyAlignment="1">
      <alignment horizontal="center"/>
    </xf>
    <xf numFmtId="0" fontId="11" fillId="0" borderId="0" xfId="0" applyFont="1"/>
    <xf numFmtId="165" fontId="8" fillId="0" borderId="0" xfId="6" applyNumberFormat="1" applyFont="1"/>
    <xf numFmtId="9" fontId="0" fillId="0" borderId="0" xfId="0" applyNumberFormat="1" applyBorder="1"/>
    <xf numFmtId="168" fontId="8" fillId="0" borderId="0" xfId="6" applyNumberFormat="1" applyFont="1"/>
    <xf numFmtId="165" fontId="8" fillId="0" borderId="3" xfId="6" applyNumberFormat="1" applyFont="1" applyBorder="1"/>
    <xf numFmtId="165" fontId="0" fillId="0" borderId="0" xfId="0" applyNumberFormat="1" applyBorder="1"/>
    <xf numFmtId="0" fontId="3" fillId="0" borderId="0" xfId="5" applyFont="1" applyAlignment="1">
      <alignment horizontal="center" vertical="top" wrapText="1"/>
    </xf>
    <xf numFmtId="0" fontId="14" fillId="0" borderId="0" xfId="5" applyAlignment="1">
      <alignment vertical="top" wrapText="1"/>
    </xf>
    <xf numFmtId="0" fontId="14" fillId="0" borderId="0" xfId="5"/>
    <xf numFmtId="0" fontId="15" fillId="0" borderId="0" xfId="5" applyFont="1" applyAlignment="1">
      <alignment vertical="top" wrapText="1"/>
    </xf>
    <xf numFmtId="0" fontId="14" fillId="0" borderId="0" xfId="5" applyAlignment="1">
      <alignment horizontal="center" vertical="top" wrapText="1"/>
    </xf>
    <xf numFmtId="0" fontId="14" fillId="0" borderId="0" xfId="5" applyAlignment="1">
      <alignment horizontal="left" wrapText="1"/>
    </xf>
    <xf numFmtId="0" fontId="14" fillId="0" borderId="0" xfId="5" applyAlignment="1">
      <alignment horizontal="center"/>
    </xf>
    <xf numFmtId="0" fontId="14" fillId="0" borderId="0" xfId="5" applyAlignment="1">
      <alignment horizontal="left" vertical="top" wrapText="1"/>
    </xf>
    <xf numFmtId="0" fontId="4" fillId="0" borderId="0" xfId="0" applyFont="1" applyFill="1"/>
    <xf numFmtId="0" fontId="0" fillId="0" borderId="0" xfId="0" applyFill="1"/>
    <xf numFmtId="0" fontId="4" fillId="0" borderId="0" xfId="0" applyFont="1" applyAlignment="1">
      <alignment horizontal="center"/>
    </xf>
    <xf numFmtId="43" fontId="8" fillId="0" borderId="0" xfId="1" applyFont="1"/>
    <xf numFmtId="43" fontId="8" fillId="0" borderId="3" xfId="1" applyFont="1" applyBorder="1"/>
    <xf numFmtId="43" fontId="8" fillId="0" borderId="0" xfId="1" applyFont="1" applyFill="1"/>
    <xf numFmtId="43" fontId="9" fillId="0" borderId="0" xfId="1" applyFont="1" applyAlignment="1">
      <alignment horizontal="center"/>
    </xf>
    <xf numFmtId="43" fontId="9" fillId="0" borderId="3" xfId="1" applyFont="1" applyBorder="1" applyAlignment="1">
      <alignment horizontal="center"/>
    </xf>
    <xf numFmtId="164" fontId="8" fillId="0" borderId="0" xfId="1" applyNumberFormat="1" applyFont="1"/>
    <xf numFmtId="164" fontId="8" fillId="0" borderId="3" xfId="1" applyNumberFormat="1" applyFont="1" applyBorder="1"/>
    <xf numFmtId="164" fontId="9" fillId="0" borderId="0" xfId="1" applyNumberFormat="1" applyFont="1" applyAlignment="1">
      <alignment horizontal="center"/>
    </xf>
    <xf numFmtId="164" fontId="9" fillId="0" borderId="3" xfId="1" applyNumberFormat="1" applyFont="1" applyBorder="1" applyAlignment="1">
      <alignment horizontal="center"/>
    </xf>
    <xf numFmtId="43" fontId="9" fillId="0" borderId="3" xfId="1" applyFont="1" applyFill="1" applyBorder="1" applyAlignment="1">
      <alignment horizontal="center"/>
    </xf>
    <xf numFmtId="0" fontId="8" fillId="0" borderId="0" xfId="0" applyFont="1" applyBorder="1"/>
    <xf numFmtId="0" fontId="12" fillId="0" borderId="0" xfId="0" applyFont="1" applyBorder="1"/>
    <xf numFmtId="164" fontId="8" fillId="2" borderId="1" xfId="1" applyNumberFormat="1" applyFont="1" applyFill="1" applyBorder="1"/>
    <xf numFmtId="165" fontId="8" fillId="2" borderId="1" xfId="6" applyNumberFormat="1" applyFont="1" applyFill="1" applyBorder="1"/>
    <xf numFmtId="9" fontId="8" fillId="2" borderId="4" xfId="6" applyFont="1" applyFill="1" applyBorder="1"/>
    <xf numFmtId="0" fontId="4" fillId="0" borderId="5" xfId="0" applyFont="1" applyBorder="1"/>
    <xf numFmtId="0" fontId="4" fillId="0" borderId="6" xfId="0" applyFont="1" applyBorder="1" applyAlignment="1">
      <alignment horizontal="center"/>
    </xf>
    <xf numFmtId="0" fontId="4" fillId="0" borderId="7" xfId="0" applyFont="1" applyBorder="1" applyAlignment="1">
      <alignment horizontal="center"/>
    </xf>
    <xf numFmtId="43" fontId="1" fillId="0" borderId="0" xfId="1"/>
    <xf numFmtId="3" fontId="8" fillId="0" borderId="0" xfId="6" applyNumberFormat="1" applyFont="1"/>
    <xf numFmtId="9" fontId="8" fillId="0" borderId="0" xfId="6" applyFont="1" applyFill="1"/>
    <xf numFmtId="0" fontId="8" fillId="0" borderId="8" xfId="0" applyFont="1" applyBorder="1"/>
    <xf numFmtId="0" fontId="8" fillId="0" borderId="9" xfId="0" applyFont="1" applyBorder="1"/>
    <xf numFmtId="0" fontId="8" fillId="0" borderId="10" xfId="0" applyFont="1" applyBorder="1"/>
    <xf numFmtId="164" fontId="8" fillId="0" borderId="0" xfId="1" applyNumberFormat="1" applyFont="1" applyAlignment="1">
      <alignment horizontal="center"/>
    </xf>
    <xf numFmtId="164" fontId="8" fillId="0" borderId="0" xfId="0" applyNumberFormat="1" applyFont="1" applyAlignment="1">
      <alignment horizontal="center"/>
    </xf>
    <xf numFmtId="0" fontId="8" fillId="0" borderId="0" xfId="0" applyFont="1" applyFill="1" applyAlignment="1">
      <alignment horizontal="center"/>
    </xf>
    <xf numFmtId="165" fontId="8" fillId="0" borderId="0" xfId="6" applyNumberFormat="1" applyFont="1" applyAlignment="1">
      <alignment horizontal="right"/>
    </xf>
    <xf numFmtId="0" fontId="3" fillId="0" borderId="0" xfId="5" applyFont="1" applyAlignment="1"/>
    <xf numFmtId="0" fontId="8" fillId="0" borderId="11" xfId="0" applyFont="1" applyBorder="1"/>
    <xf numFmtId="0" fontId="8" fillId="0" borderId="12" xfId="0" applyFont="1" applyBorder="1"/>
    <xf numFmtId="0" fontId="9" fillId="0" borderId="13" xfId="0" applyFont="1" applyBorder="1"/>
    <xf numFmtId="0" fontId="11" fillId="0" borderId="14" xfId="0" applyFont="1" applyFill="1" applyBorder="1"/>
    <xf numFmtId="0" fontId="8" fillId="0" borderId="1" xfId="0" applyFont="1" applyFill="1" applyBorder="1"/>
    <xf numFmtId="169" fontId="8" fillId="0" borderId="1" xfId="0" applyNumberFormat="1" applyFont="1" applyFill="1" applyBorder="1"/>
    <xf numFmtId="43" fontId="8" fillId="0" borderId="1" xfId="1" applyFont="1" applyFill="1" applyBorder="1"/>
    <xf numFmtId="164" fontId="8" fillId="0" borderId="1" xfId="1" applyNumberFormat="1" applyFont="1" applyFill="1" applyBorder="1"/>
    <xf numFmtId="165" fontId="0" fillId="0" borderId="13" xfId="0" applyNumberFormat="1" applyBorder="1"/>
    <xf numFmtId="9" fontId="0" fillId="0" borderId="8" xfId="0" applyNumberFormat="1" applyBorder="1"/>
    <xf numFmtId="165" fontId="0" fillId="0" borderId="8" xfId="0" applyNumberFormat="1" applyBorder="1"/>
    <xf numFmtId="165" fontId="0" fillId="0" borderId="9" xfId="0" applyNumberFormat="1" applyBorder="1"/>
    <xf numFmtId="165" fontId="0" fillId="0" borderId="10" xfId="0" applyNumberFormat="1" applyBorder="1"/>
    <xf numFmtId="9" fontId="0" fillId="0" borderId="15" xfId="0" applyNumberFormat="1" applyBorder="1"/>
    <xf numFmtId="165" fontId="0" fillId="0" borderId="15" xfId="0" applyNumberFormat="1" applyBorder="1"/>
    <xf numFmtId="0" fontId="8" fillId="0" borderId="8" xfId="0" applyFont="1" applyBorder="1" applyAlignment="1">
      <alignment horizontal="center"/>
    </xf>
    <xf numFmtId="0" fontId="8" fillId="0" borderId="16" xfId="0" applyFont="1" applyBorder="1"/>
    <xf numFmtId="0" fontId="8" fillId="0" borderId="0" xfId="0" applyFont="1" applyBorder="1" applyAlignment="1">
      <alignment horizontal="center"/>
    </xf>
    <xf numFmtId="164" fontId="8" fillId="0" borderId="0" xfId="1" applyNumberFormat="1" applyFont="1" applyBorder="1" applyAlignment="1">
      <alignment horizontal="center"/>
    </xf>
    <xf numFmtId="164" fontId="8" fillId="0" borderId="0" xfId="1" applyNumberFormat="1" applyFont="1" applyBorder="1"/>
    <xf numFmtId="164" fontId="8" fillId="0" borderId="15" xfId="1" applyNumberFormat="1" applyFont="1" applyBorder="1" applyAlignment="1">
      <alignment horizontal="center"/>
    </xf>
    <xf numFmtId="164" fontId="8" fillId="0" borderId="15" xfId="1" applyNumberFormat="1" applyFont="1" applyBorder="1"/>
    <xf numFmtId="164" fontId="18" fillId="0" borderId="0" xfId="1" applyNumberFormat="1" applyFont="1" applyBorder="1" applyAlignment="1">
      <alignment horizontal="center"/>
    </xf>
    <xf numFmtId="164" fontId="18" fillId="0" borderId="0" xfId="1" applyNumberFormat="1" applyFont="1" applyBorder="1"/>
    <xf numFmtId="170" fontId="8" fillId="0" borderId="0" xfId="0" applyNumberFormat="1" applyFont="1" applyFill="1" applyAlignment="1">
      <alignment horizontal="center"/>
    </xf>
    <xf numFmtId="0" fontId="8" fillId="3" borderId="0" xfId="0" applyFont="1" applyFill="1" applyAlignment="1" applyProtection="1">
      <alignment horizontal="center"/>
      <protection locked="0"/>
    </xf>
    <xf numFmtId="0" fontId="8" fillId="3" borderId="0" xfId="0" applyFont="1" applyFill="1" applyProtection="1">
      <protection locked="0"/>
    </xf>
    <xf numFmtId="170" fontId="8" fillId="3" borderId="0" xfId="0" applyNumberFormat="1" applyFont="1" applyFill="1" applyProtection="1">
      <protection locked="0"/>
    </xf>
    <xf numFmtId="9" fontId="8" fillId="3" borderId="0" xfId="6" applyFont="1" applyFill="1" applyProtection="1">
      <protection locked="0"/>
    </xf>
    <xf numFmtId="43" fontId="8" fillId="3" borderId="0" xfId="1" applyFont="1" applyFill="1" applyProtection="1">
      <protection locked="0"/>
    </xf>
    <xf numFmtId="0" fontId="13" fillId="3" borderId="5" xfId="0" applyFont="1" applyFill="1" applyBorder="1" applyAlignment="1" applyProtection="1">
      <alignment horizontal="center"/>
    </xf>
    <xf numFmtId="0" fontId="13" fillId="3" borderId="7" xfId="0" applyFont="1" applyFill="1" applyBorder="1" applyAlignment="1" applyProtection="1">
      <alignment horizontal="center"/>
    </xf>
    <xf numFmtId="0" fontId="0" fillId="0" borderId="0" xfId="0" applyProtection="1"/>
    <xf numFmtId="0" fontId="0" fillId="3" borderId="11" xfId="0" applyFill="1" applyBorder="1" applyProtection="1"/>
    <xf numFmtId="0" fontId="4" fillId="3" borderId="12" xfId="0" applyFont="1" applyFill="1" applyBorder="1" applyAlignment="1" applyProtection="1">
      <alignment horizontal="right"/>
    </xf>
    <xf numFmtId="0" fontId="4" fillId="0" borderId="5" xfId="0" applyFont="1" applyBorder="1" applyAlignment="1">
      <alignment horizontal="center"/>
    </xf>
    <xf numFmtId="0" fontId="8" fillId="0" borderId="0" xfId="0" applyFont="1" applyFill="1" applyBorder="1"/>
    <xf numFmtId="0" fontId="9" fillId="3" borderId="0" xfId="0" applyFont="1" applyFill="1" applyAlignment="1" applyProtection="1">
      <alignment horizontal="center"/>
      <protection locked="0"/>
    </xf>
    <xf numFmtId="0" fontId="9" fillId="0" borderId="0" xfId="0" applyFont="1" applyFill="1" applyProtection="1"/>
    <xf numFmtId="44" fontId="1" fillId="0" borderId="0" xfId="2" applyFill="1"/>
    <xf numFmtId="44" fontId="1" fillId="0" borderId="11" xfId="2" applyFill="1" applyBorder="1"/>
    <xf numFmtId="44" fontId="1" fillId="0" borderId="17" xfId="2" applyFill="1" applyBorder="1"/>
    <xf numFmtId="44" fontId="1" fillId="0" borderId="0" xfId="2" applyFill="1" applyBorder="1"/>
    <xf numFmtId="44" fontId="1" fillId="0" borderId="12" xfId="2" applyFill="1" applyBorder="1"/>
    <xf numFmtId="44" fontId="1" fillId="0" borderId="18" xfId="2" applyFill="1" applyBorder="1"/>
    <xf numFmtId="44" fontId="1" fillId="0" borderId="3" xfId="2" applyFill="1" applyBorder="1"/>
    <xf numFmtId="44" fontId="1" fillId="0" borderId="0" xfId="2" applyFont="1" applyFill="1" applyAlignment="1">
      <alignment horizontal="center"/>
    </xf>
    <xf numFmtId="1" fontId="1" fillId="0" borderId="0" xfId="2" applyNumberFormat="1" applyAlignment="1">
      <alignment horizontal="center"/>
    </xf>
    <xf numFmtId="44" fontId="1" fillId="0" borderId="0" xfId="2"/>
    <xf numFmtId="9" fontId="0" fillId="3" borderId="16" xfId="0" applyNumberFormat="1" applyFill="1" applyBorder="1" applyProtection="1">
      <protection locked="0"/>
    </xf>
    <xf numFmtId="9" fontId="0" fillId="3" borderId="19" xfId="0" applyNumberFormat="1" applyFill="1" applyBorder="1" applyProtection="1">
      <protection locked="0"/>
    </xf>
    <xf numFmtId="9" fontId="0" fillId="3" borderId="20" xfId="0" applyNumberFormat="1" applyFill="1" applyBorder="1" applyProtection="1">
      <protection locked="0"/>
    </xf>
    <xf numFmtId="164" fontId="8" fillId="4" borderId="0" xfId="1" applyNumberFormat="1" applyFont="1" applyFill="1" applyBorder="1"/>
    <xf numFmtId="164" fontId="18" fillId="4" borderId="0" xfId="1" applyNumberFormat="1" applyFont="1" applyFill="1" applyBorder="1"/>
    <xf numFmtId="164" fontId="8" fillId="4" borderId="15" xfId="1" applyNumberFormat="1" applyFont="1" applyFill="1" applyBorder="1" applyAlignment="1">
      <alignment horizontal="center"/>
    </xf>
    <xf numFmtId="4" fontId="8" fillId="0" borderId="0" xfId="0" applyNumberFormat="1" applyFont="1"/>
    <xf numFmtId="4" fontId="0" fillId="0" borderId="0" xfId="0" applyNumberFormat="1"/>
    <xf numFmtId="4" fontId="9" fillId="0" borderId="0" xfId="0" applyNumberFormat="1" applyFont="1" applyAlignment="1">
      <alignment horizontal="center"/>
    </xf>
    <xf numFmtId="4" fontId="9" fillId="0" borderId="3" xfId="0" applyNumberFormat="1" applyFont="1" applyBorder="1" applyAlignment="1">
      <alignment horizontal="center"/>
    </xf>
    <xf numFmtId="4" fontId="8" fillId="0" borderId="0" xfId="1" applyNumberFormat="1" applyFont="1"/>
    <xf numFmtId="4" fontId="8" fillId="0" borderId="3" xfId="0" applyNumberFormat="1" applyFont="1" applyBorder="1"/>
    <xf numFmtId="4" fontId="8" fillId="0" borderId="1" xfId="0" applyNumberFormat="1" applyFont="1" applyFill="1" applyBorder="1"/>
    <xf numFmtId="3" fontId="8" fillId="0" borderId="0" xfId="6" applyNumberFormat="1" applyFont="1" applyAlignment="1">
      <alignment horizontal="right"/>
    </xf>
    <xf numFmtId="0" fontId="8" fillId="5" borderId="0" xfId="0" applyFont="1" applyFill="1"/>
    <xf numFmtId="0" fontId="19" fillId="0" borderId="0" xfId="0" applyFont="1"/>
    <xf numFmtId="0" fontId="8" fillId="3" borderId="0" xfId="0" applyFont="1" applyFill="1" applyAlignment="1" applyProtection="1">
      <alignment horizontal="left"/>
      <protection locked="0"/>
    </xf>
    <xf numFmtId="0" fontId="8" fillId="0" borderId="0" xfId="0" applyFont="1" applyFill="1"/>
    <xf numFmtId="166" fontId="8" fillId="0" borderId="0" xfId="0" applyNumberFormat="1" applyFont="1" applyAlignment="1">
      <alignment horizontal="center"/>
    </xf>
    <xf numFmtId="3" fontId="8" fillId="0" borderId="0" xfId="0" applyNumberFormat="1" applyFont="1" applyAlignment="1">
      <alignment horizontal="center"/>
    </xf>
    <xf numFmtId="3" fontId="1" fillId="3" borderId="18" xfId="2" applyNumberFormat="1" applyFont="1" applyFill="1" applyBorder="1" applyAlignment="1" applyProtection="1">
      <alignment horizontal="right"/>
    </xf>
    <xf numFmtId="3" fontId="1" fillId="3" borderId="21" xfId="2" applyNumberFormat="1" applyFill="1" applyBorder="1" applyAlignment="1" applyProtection="1">
      <alignment horizontal="right"/>
    </xf>
    <xf numFmtId="44" fontId="1" fillId="0" borderId="0" xfId="2" applyFont="1" applyFill="1"/>
    <xf numFmtId="44" fontId="1" fillId="0" borderId="0" xfId="2" applyFont="1" applyFill="1" applyBorder="1"/>
    <xf numFmtId="167" fontId="1" fillId="0" borderId="0" xfId="2" applyNumberFormat="1" applyAlignment="1">
      <alignment horizontal="center"/>
    </xf>
    <xf numFmtId="167" fontId="0" fillId="0" borderId="0" xfId="0" applyNumberFormat="1"/>
    <xf numFmtId="0" fontId="9" fillId="3" borderId="0" xfId="0" applyFont="1" applyFill="1" applyProtection="1">
      <protection locked="0"/>
    </xf>
    <xf numFmtId="0" fontId="0" fillId="5" borderId="0" xfId="0" applyFill="1"/>
    <xf numFmtId="0" fontId="8" fillId="0" borderId="0" xfId="0" applyFont="1" applyFill="1" applyProtection="1">
      <protection locked="0"/>
    </xf>
    <xf numFmtId="0" fontId="9" fillId="0" borderId="0" xfId="0" applyFont="1" applyFill="1" applyProtection="1">
      <protection locked="0"/>
    </xf>
    <xf numFmtId="170" fontId="8" fillId="0" borderId="0" xfId="0" applyNumberFormat="1" applyFont="1" applyFill="1" applyProtection="1">
      <protection locked="0"/>
    </xf>
    <xf numFmtId="0" fontId="8" fillId="0" borderId="0" xfId="0" applyFont="1" applyFill="1" applyAlignment="1" applyProtection="1">
      <alignment horizontal="left"/>
      <protection locked="0"/>
    </xf>
    <xf numFmtId="0" fontId="20" fillId="0" borderId="0" xfId="0" applyFont="1" applyFill="1"/>
    <xf numFmtId="172" fontId="1" fillId="0" borderId="0" xfId="2" applyNumberFormat="1" applyFill="1" applyBorder="1"/>
    <xf numFmtId="172" fontId="0" fillId="0" borderId="0" xfId="0" applyNumberFormat="1"/>
    <xf numFmtId="173" fontId="0" fillId="0" borderId="0" xfId="0" applyNumberFormat="1"/>
    <xf numFmtId="167" fontId="1" fillId="0" borderId="0" xfId="2" applyNumberFormat="1" applyFill="1" applyBorder="1" applyAlignment="1">
      <alignment horizontal="right"/>
    </xf>
    <xf numFmtId="0" fontId="4" fillId="0" borderId="0" xfId="0" applyFont="1" applyFill="1" applyAlignment="1">
      <alignment horizontal="center"/>
    </xf>
    <xf numFmtId="0" fontId="4" fillId="0" borderId="0" xfId="0" applyFont="1" applyFill="1" applyBorder="1" applyAlignment="1">
      <alignment horizontal="center"/>
    </xf>
    <xf numFmtId="4" fontId="0" fillId="0" borderId="0" xfId="0" applyNumberFormat="1" applyFill="1"/>
    <xf numFmtId="167" fontId="1" fillId="0" borderId="3" xfId="2" applyNumberFormat="1" applyFill="1" applyBorder="1" applyAlignment="1">
      <alignment horizontal="right"/>
    </xf>
    <xf numFmtId="0" fontId="9" fillId="0" borderId="0" xfId="0" applyFont="1" applyFill="1" applyAlignment="1" applyProtection="1">
      <alignment horizontal="center"/>
    </xf>
    <xf numFmtId="165" fontId="8" fillId="0" borderId="0" xfId="6" applyNumberFormat="1" applyFont="1" applyBorder="1"/>
    <xf numFmtId="165" fontId="18" fillId="0" borderId="0" xfId="6" applyNumberFormat="1" applyFont="1" applyBorder="1"/>
    <xf numFmtId="0" fontId="8" fillId="0" borderId="19" xfId="0" applyFont="1" applyBorder="1"/>
    <xf numFmtId="165" fontId="8" fillId="0" borderId="15" xfId="6" applyNumberFormat="1" applyFont="1" applyBorder="1"/>
    <xf numFmtId="44" fontId="21" fillId="0" borderId="17" xfId="2" applyFont="1" applyFill="1" applyBorder="1"/>
    <xf numFmtId="0" fontId="8" fillId="3" borderId="0" xfId="0" applyFont="1" applyFill="1" applyBorder="1" applyProtection="1">
      <protection locked="0"/>
    </xf>
    <xf numFmtId="170" fontId="8" fillId="3" borderId="0" xfId="0" applyNumberFormat="1" applyFont="1" applyFill="1" applyBorder="1" applyProtection="1">
      <protection locked="0"/>
    </xf>
    <xf numFmtId="9" fontId="8" fillId="3" borderId="0" xfId="6" applyFont="1" applyFill="1" applyBorder="1" applyProtection="1">
      <protection locked="0"/>
    </xf>
    <xf numFmtId="4" fontId="8" fillId="0" borderId="0" xfId="6" applyNumberFormat="1" applyFont="1" applyBorder="1"/>
    <xf numFmtId="4" fontId="8" fillId="0" borderId="0" xfId="1" applyNumberFormat="1" applyFont="1" applyBorder="1"/>
    <xf numFmtId="43" fontId="8" fillId="0" borderId="0" xfId="1" applyFont="1" applyFill="1" applyBorder="1" applyProtection="1">
      <protection locked="0"/>
    </xf>
    <xf numFmtId="9" fontId="8" fillId="0" borderId="0" xfId="6" applyFont="1" applyBorder="1"/>
    <xf numFmtId="0" fontId="8" fillId="3" borderId="15" xfId="0" applyFont="1" applyFill="1" applyBorder="1" applyProtection="1">
      <protection locked="0"/>
    </xf>
    <xf numFmtId="170" fontId="8" fillId="3" borderId="15" xfId="0" applyNumberFormat="1" applyFont="1" applyFill="1" applyBorder="1" applyProtection="1">
      <protection locked="0"/>
    </xf>
    <xf numFmtId="9" fontId="8" fillId="3" borderId="15" xfId="6" applyFont="1" applyFill="1" applyBorder="1" applyProtection="1">
      <protection locked="0"/>
    </xf>
    <xf numFmtId="4" fontId="8" fillId="0" borderId="15" xfId="6" applyNumberFormat="1" applyFont="1" applyBorder="1"/>
    <xf numFmtId="4" fontId="8" fillId="0" borderId="15" xfId="1" applyNumberFormat="1" applyFont="1" applyBorder="1"/>
    <xf numFmtId="43" fontId="8" fillId="0" borderId="15" xfId="1" applyFont="1" applyFill="1" applyBorder="1" applyProtection="1">
      <protection locked="0"/>
    </xf>
    <xf numFmtId="9" fontId="8" fillId="0" borderId="15" xfId="6" applyFont="1" applyBorder="1"/>
    <xf numFmtId="0" fontId="8" fillId="0" borderId="15" xfId="0" applyFont="1" applyBorder="1"/>
    <xf numFmtId="43" fontId="8" fillId="3" borderId="15" xfId="1" applyFont="1" applyFill="1" applyBorder="1" applyProtection="1">
      <protection locked="0"/>
    </xf>
    <xf numFmtId="43" fontId="8" fillId="0" borderId="0" xfId="1" applyFont="1" applyBorder="1"/>
    <xf numFmtId="43" fontId="8" fillId="3" borderId="0" xfId="1" applyFont="1" applyFill="1" applyBorder="1" applyProtection="1">
      <protection locked="0"/>
    </xf>
    <xf numFmtId="43" fontId="8" fillId="0" borderId="15" xfId="1" applyFont="1" applyBorder="1"/>
    <xf numFmtId="0" fontId="21" fillId="0" borderId="0" xfId="0" applyFont="1"/>
    <xf numFmtId="0" fontId="21" fillId="6" borderId="0" xfId="0" applyFont="1" applyFill="1"/>
    <xf numFmtId="0" fontId="21" fillId="7" borderId="0" xfId="0" applyFont="1" applyFill="1"/>
    <xf numFmtId="166" fontId="0" fillId="7" borderId="0" xfId="0" applyNumberFormat="1" applyFill="1"/>
    <xf numFmtId="0" fontId="21" fillId="8" borderId="0" xfId="0" applyFont="1" applyFill="1"/>
    <xf numFmtId="166" fontId="0" fillId="8" borderId="0" xfId="0" applyNumberFormat="1" applyFill="1"/>
    <xf numFmtId="171" fontId="0" fillId="6" borderId="0" xfId="0" applyNumberFormat="1" applyFill="1"/>
    <xf numFmtId="0" fontId="21" fillId="9" borderId="0" xfId="0" applyFont="1" applyFill="1"/>
    <xf numFmtId="174" fontId="0" fillId="9" borderId="0" xfId="0" applyNumberFormat="1" applyFill="1"/>
    <xf numFmtId="174" fontId="0" fillId="7" borderId="0" xfId="0" applyNumberFormat="1" applyFill="1"/>
    <xf numFmtId="174" fontId="0" fillId="8" borderId="0" xfId="0" applyNumberFormat="1" applyFill="1"/>
    <xf numFmtId="174" fontId="0" fillId="6" borderId="0" xfId="0" applyNumberFormat="1" applyFill="1"/>
    <xf numFmtId="166" fontId="0" fillId="9" borderId="0" xfId="0" applyNumberFormat="1" applyFill="1"/>
    <xf numFmtId="1" fontId="0" fillId="0" borderId="0" xfId="0" applyNumberFormat="1" applyFill="1"/>
    <xf numFmtId="1" fontId="21" fillId="0" borderId="0" xfId="0" applyNumberFormat="1" applyFont="1" applyFill="1"/>
    <xf numFmtId="0" fontId="8" fillId="0" borderId="0" xfId="0" applyFont="1" applyFill="1" applyBorder="1" applyProtection="1">
      <protection locked="0"/>
    </xf>
    <xf numFmtId="0" fontId="9" fillId="0" borderId="0" xfId="0" applyFont="1" applyFill="1" applyAlignment="1" applyProtection="1">
      <alignment horizontal="center"/>
      <protection locked="0"/>
    </xf>
    <xf numFmtId="1" fontId="1" fillId="0" borderId="0" xfId="0" applyNumberFormat="1" applyFont="1" applyFill="1"/>
    <xf numFmtId="0" fontId="22" fillId="0" borderId="0" xfId="0" applyFont="1"/>
    <xf numFmtId="9" fontId="8" fillId="0" borderId="0" xfId="0" applyNumberFormat="1" applyFont="1"/>
    <xf numFmtId="1" fontId="8" fillId="0" borderId="19" xfId="0" applyNumberFormat="1" applyFont="1" applyBorder="1"/>
    <xf numFmtId="1" fontId="8" fillId="0" borderId="20" xfId="0" applyNumberFormat="1" applyFont="1" applyBorder="1"/>
    <xf numFmtId="1" fontId="23" fillId="0" borderId="19" xfId="0" applyNumberFormat="1" applyFont="1" applyBorder="1"/>
    <xf numFmtId="3" fontId="0" fillId="8" borderId="0" xfId="0" applyNumberFormat="1" applyFill="1"/>
    <xf numFmtId="3" fontId="8" fillId="0" borderId="0" xfId="0" applyNumberFormat="1" applyFont="1"/>
    <xf numFmtId="3" fontId="0" fillId="0" borderId="0" xfId="0" applyNumberFormat="1"/>
    <xf numFmtId="3" fontId="9" fillId="0" borderId="0" xfId="0" applyNumberFormat="1" applyFont="1" applyAlignment="1">
      <alignment horizontal="center"/>
    </xf>
    <xf numFmtId="3" fontId="9" fillId="0" borderId="3" xfId="1" applyNumberFormat="1" applyFont="1" applyFill="1" applyBorder="1" applyAlignment="1">
      <alignment horizontal="center"/>
    </xf>
    <xf numFmtId="3" fontId="8" fillId="0" borderId="0" xfId="1" applyNumberFormat="1" applyFont="1" applyBorder="1"/>
    <xf numFmtId="3" fontId="8" fillId="0" borderId="15" xfId="1" applyNumberFormat="1" applyFont="1" applyBorder="1"/>
    <xf numFmtId="3" fontId="8" fillId="0" borderId="0" xfId="1" applyNumberFormat="1" applyFont="1"/>
    <xf numFmtId="3" fontId="9" fillId="0" borderId="0" xfId="1" applyNumberFormat="1" applyFont="1" applyAlignment="1">
      <alignment horizontal="center"/>
    </xf>
    <xf numFmtId="3" fontId="8" fillId="3" borderId="0" xfId="1" applyNumberFormat="1" applyFont="1" applyFill="1" applyProtection="1">
      <protection locked="0"/>
    </xf>
    <xf numFmtId="3" fontId="8" fillId="3" borderId="15" xfId="1" applyNumberFormat="1" applyFont="1" applyFill="1" applyBorder="1" applyProtection="1">
      <protection locked="0"/>
    </xf>
    <xf numFmtId="3" fontId="8" fillId="0" borderId="0" xfId="1" applyNumberFormat="1" applyFont="1" applyFill="1" applyBorder="1" applyProtection="1">
      <protection locked="0"/>
    </xf>
    <xf numFmtId="3" fontId="8" fillId="0" borderId="15" xfId="1" applyNumberFormat="1" applyFont="1" applyFill="1" applyBorder="1" applyProtection="1">
      <protection locked="0"/>
    </xf>
    <xf numFmtId="3" fontId="8" fillId="0" borderId="3" xfId="1" applyNumberFormat="1" applyFont="1" applyBorder="1"/>
    <xf numFmtId="3" fontId="8" fillId="0" borderId="1" xfId="1" applyNumberFormat="1" applyFont="1" applyFill="1" applyBorder="1"/>
    <xf numFmtId="3" fontId="9" fillId="0" borderId="3" xfId="0" applyNumberFormat="1" applyFont="1" applyBorder="1" applyAlignment="1">
      <alignment horizontal="center"/>
    </xf>
    <xf numFmtId="3" fontId="9" fillId="0" borderId="3" xfId="1" applyNumberFormat="1" applyFont="1" applyBorder="1" applyAlignment="1">
      <alignment horizontal="center"/>
    </xf>
    <xf numFmtId="3" fontId="8" fillId="0" borderId="0" xfId="1" applyNumberFormat="1" applyFont="1" applyFill="1"/>
    <xf numFmtId="3" fontId="8" fillId="0" borderId="15" xfId="1" applyNumberFormat="1" applyFont="1" applyFill="1" applyBorder="1"/>
    <xf numFmtId="3" fontId="8" fillId="0" borderId="0" xfId="1" applyNumberFormat="1" applyFont="1" applyFill="1" applyBorder="1"/>
    <xf numFmtId="3" fontId="8" fillId="3" borderId="1" xfId="1" applyNumberFormat="1" applyFont="1" applyFill="1" applyBorder="1" applyProtection="1">
      <protection locked="0"/>
    </xf>
    <xf numFmtId="4" fontId="8" fillId="0" borderId="0" xfId="0" applyNumberFormat="1" applyFont="1" applyFill="1"/>
    <xf numFmtId="3" fontId="1" fillId="3" borderId="17" xfId="2" applyNumberFormat="1" applyFill="1" applyBorder="1" applyAlignment="1" applyProtection="1">
      <alignment horizontal="right"/>
      <protection locked="0"/>
    </xf>
    <xf numFmtId="3" fontId="1" fillId="3" borderId="17" xfId="2" applyNumberFormat="1" applyFont="1" applyFill="1" applyBorder="1" applyAlignment="1" applyProtection="1">
      <alignment horizontal="right"/>
      <protection locked="0"/>
    </xf>
    <xf numFmtId="0" fontId="0" fillId="3" borderId="11" xfId="0" applyFill="1" applyBorder="1" applyProtection="1">
      <protection locked="0"/>
    </xf>
    <xf numFmtId="0" fontId="1" fillId="0" borderId="0" xfId="0" applyFont="1"/>
    <xf numFmtId="0" fontId="4" fillId="0" borderId="22" xfId="0" applyFont="1" applyBorder="1"/>
    <xf numFmtId="0" fontId="0" fillId="0" borderId="23" xfId="0" applyBorder="1"/>
    <xf numFmtId="0" fontId="0" fillId="0" borderId="9" xfId="0" applyBorder="1"/>
    <xf numFmtId="0" fontId="0" fillId="0" borderId="19" xfId="0" applyBorder="1"/>
    <xf numFmtId="9" fontId="0" fillId="0" borderId="19" xfId="0" applyNumberFormat="1" applyBorder="1"/>
    <xf numFmtId="17" fontId="8" fillId="0" borderId="0" xfId="0" applyNumberFormat="1" applyFont="1"/>
    <xf numFmtId="0" fontId="9" fillId="0" borderId="0" xfId="0" applyFont="1" applyBorder="1"/>
    <xf numFmtId="0" fontId="8" fillId="7" borderId="0" xfId="0" applyFont="1" applyFill="1"/>
    <xf numFmtId="170" fontId="8" fillId="0" borderId="0" xfId="0" applyNumberFormat="1" applyFont="1" applyFill="1" applyAlignment="1" applyProtection="1">
      <alignment horizontal="center"/>
    </xf>
    <xf numFmtId="0" fontId="9" fillId="0" borderId="0" xfId="0" applyFont="1" applyBorder="1"/>
    <xf numFmtId="0" fontId="1" fillId="5" borderId="0" xfId="0" applyFont="1" applyFill="1"/>
    <xf numFmtId="1" fontId="0" fillId="0" borderId="0" xfId="0" applyNumberFormat="1" applyFont="1" applyFill="1"/>
    <xf numFmtId="9" fontId="4" fillId="0" borderId="0" xfId="0" applyNumberFormat="1" applyFont="1" applyFill="1" applyBorder="1" applyAlignment="1">
      <alignment horizontal="center"/>
    </xf>
    <xf numFmtId="9" fontId="4" fillId="0" borderId="0" xfId="0" applyNumberFormat="1" applyFont="1" applyBorder="1" applyAlignment="1">
      <alignment horizontal="center"/>
    </xf>
    <xf numFmtId="9" fontId="0" fillId="0" borderId="9" xfId="0" applyNumberFormat="1" applyBorder="1"/>
    <xf numFmtId="9" fontId="4" fillId="0" borderId="9" xfId="0" applyNumberFormat="1" applyFont="1" applyBorder="1" applyAlignment="1">
      <alignment horizontal="center"/>
    </xf>
    <xf numFmtId="9" fontId="4" fillId="0" borderId="19" xfId="0" applyNumberFormat="1" applyFont="1" applyBorder="1" applyAlignment="1">
      <alignment horizontal="center"/>
    </xf>
    <xf numFmtId="9" fontId="4" fillId="0" borderId="9" xfId="0" applyNumberFormat="1" applyFont="1" applyFill="1" applyBorder="1" applyAlignment="1">
      <alignment horizontal="center"/>
    </xf>
    <xf numFmtId="9" fontId="4" fillId="0" borderId="19" xfId="0" applyNumberFormat="1" applyFont="1" applyFill="1" applyBorder="1" applyAlignment="1">
      <alignment horizontal="center"/>
    </xf>
    <xf numFmtId="9" fontId="0" fillId="0" borderId="9" xfId="0" applyNumberFormat="1" applyFill="1" applyBorder="1"/>
    <xf numFmtId="0" fontId="0" fillId="0" borderId="13" xfId="0" applyBorder="1"/>
    <xf numFmtId="0" fontId="1" fillId="0" borderId="16" xfId="0" applyFont="1" applyBorder="1"/>
    <xf numFmtId="0" fontId="1" fillId="0" borderId="19" xfId="0" applyFont="1" applyBorder="1"/>
    <xf numFmtId="0" fontId="1" fillId="0" borderId="9" xfId="0" applyFont="1" applyBorder="1"/>
    <xf numFmtId="0" fontId="1" fillId="0" borderId="9" xfId="0" applyFont="1" applyFill="1" applyBorder="1"/>
    <xf numFmtId="0" fontId="1" fillId="0" borderId="10" xfId="0" applyFont="1" applyFill="1" applyBorder="1"/>
    <xf numFmtId="0" fontId="24" fillId="0" borderId="0" xfId="0" applyFont="1"/>
    <xf numFmtId="0" fontId="21" fillId="0" borderId="0" xfId="0" applyFont="1" applyFill="1" applyBorder="1"/>
    <xf numFmtId="166" fontId="0" fillId="0" borderId="0" xfId="0" applyNumberFormat="1" applyFill="1" applyBorder="1"/>
    <xf numFmtId="1" fontId="0" fillId="0" borderId="0" xfId="0" applyNumberFormat="1" applyFill="1" applyBorder="1"/>
    <xf numFmtId="0" fontId="0" fillId="0" borderId="0" xfId="0" applyFill="1" applyBorder="1"/>
    <xf numFmtId="10" fontId="8" fillId="0" borderId="0" xfId="0" applyNumberFormat="1" applyFont="1"/>
    <xf numFmtId="10" fontId="9" fillId="0" borderId="0" xfId="0" applyNumberFormat="1" applyFont="1" applyAlignment="1">
      <alignment horizontal="center"/>
    </xf>
    <xf numFmtId="10" fontId="9" fillId="0" borderId="3" xfId="0" applyNumberFormat="1" applyFont="1" applyBorder="1" applyAlignment="1">
      <alignment horizontal="center"/>
    </xf>
    <xf numFmtId="10" fontId="8" fillId="0" borderId="0" xfId="6" applyNumberFormat="1" applyFont="1" applyBorder="1"/>
    <xf numFmtId="10" fontId="8" fillId="0" borderId="15" xfId="6" applyNumberFormat="1" applyFont="1" applyBorder="1"/>
    <xf numFmtId="10" fontId="8" fillId="0" borderId="0" xfId="6" applyNumberFormat="1" applyFont="1"/>
    <xf numFmtId="10" fontId="8" fillId="0" borderId="3" xfId="0" applyNumberFormat="1" applyFont="1" applyBorder="1"/>
    <xf numFmtId="10" fontId="8" fillId="2" borderId="4" xfId="6" applyNumberFormat="1" applyFont="1" applyFill="1" applyBorder="1"/>
    <xf numFmtId="0" fontId="9" fillId="0" borderId="0" xfId="0" applyFont="1" applyBorder="1"/>
    <xf numFmtId="0" fontId="8" fillId="0" borderId="0" xfId="0" applyFont="1" applyFill="1" applyProtection="1"/>
    <xf numFmtId="4" fontId="8" fillId="0" borderId="0" xfId="0" applyNumberFormat="1" applyFont="1" applyFill="1" applyProtection="1"/>
    <xf numFmtId="170" fontId="8" fillId="0" borderId="0" xfId="0" applyNumberFormat="1" applyFont="1" applyFill="1" applyProtection="1"/>
    <xf numFmtId="0" fontId="8" fillId="0" borderId="0" xfId="0" applyFont="1" applyFill="1" applyAlignment="1" applyProtection="1">
      <alignment horizontal="left"/>
    </xf>
    <xf numFmtId="3" fontId="9" fillId="0" borderId="0" xfId="1" applyNumberFormat="1" applyFont="1" applyFill="1" applyBorder="1" applyAlignment="1" applyProtection="1">
      <alignment horizontal="center"/>
    </xf>
    <xf numFmtId="43" fontId="8" fillId="0" borderId="0" xfId="1" applyFont="1" applyFill="1" applyProtection="1"/>
    <xf numFmtId="43" fontId="9" fillId="0" borderId="3" xfId="1" applyFont="1" applyFill="1" applyBorder="1" applyAlignment="1" applyProtection="1">
      <alignment horizontal="center"/>
    </xf>
    <xf numFmtId="3" fontId="9" fillId="0" borderId="3" xfId="1" applyNumberFormat="1" applyFont="1" applyFill="1" applyBorder="1" applyAlignment="1" applyProtection="1">
      <alignment horizontal="center"/>
    </xf>
    <xf numFmtId="43" fontId="8" fillId="0" borderId="0" xfId="1" applyFont="1" applyFill="1" applyBorder="1" applyProtection="1"/>
    <xf numFmtId="3" fontId="8" fillId="0" borderId="0" xfId="1" applyNumberFormat="1" applyFont="1" applyFill="1" applyBorder="1" applyProtection="1"/>
    <xf numFmtId="43" fontId="8" fillId="0" borderId="15" xfId="1" applyFont="1" applyFill="1" applyBorder="1" applyProtection="1"/>
    <xf numFmtId="3" fontId="8" fillId="0" borderId="15" xfId="1" applyNumberFormat="1" applyFont="1" applyFill="1" applyBorder="1" applyProtection="1"/>
    <xf numFmtId="0" fontId="11" fillId="0" borderId="14" xfId="0" applyFont="1" applyFill="1" applyBorder="1" applyProtection="1"/>
    <xf numFmtId="0" fontId="8" fillId="0" borderId="1" xfId="0" applyFont="1" applyFill="1" applyBorder="1" applyProtection="1"/>
    <xf numFmtId="169" fontId="8" fillId="0" borderId="1" xfId="0" applyNumberFormat="1" applyFont="1" applyFill="1" applyBorder="1" applyProtection="1"/>
    <xf numFmtId="4" fontId="8" fillId="0" borderId="1" xfId="0" applyNumberFormat="1" applyFont="1" applyFill="1" applyBorder="1" applyProtection="1"/>
    <xf numFmtId="43" fontId="8" fillId="0" borderId="1" xfId="1" applyFont="1" applyFill="1" applyBorder="1" applyProtection="1"/>
    <xf numFmtId="164" fontId="8" fillId="0" borderId="1" xfId="1" applyNumberFormat="1" applyFont="1" applyFill="1" applyBorder="1" applyProtection="1"/>
    <xf numFmtId="3" fontId="8" fillId="0" borderId="1" xfId="1" applyNumberFormat="1" applyFont="1" applyFill="1" applyBorder="1" applyProtection="1"/>
    <xf numFmtId="3" fontId="8" fillId="0" borderId="0" xfId="0" applyNumberFormat="1" applyFont="1" applyFill="1" applyProtection="1"/>
    <xf numFmtId="0" fontId="8" fillId="0" borderId="0" xfId="0" applyFont="1" applyFill="1" applyBorder="1" applyProtection="1"/>
    <xf numFmtId="0" fontId="12" fillId="0" borderId="0" xfId="0" applyFont="1" applyFill="1" applyBorder="1" applyProtection="1"/>
    <xf numFmtId="0" fontId="19" fillId="0" borderId="0" xfId="0" applyFont="1" applyFill="1" applyProtection="1"/>
    <xf numFmtId="0" fontId="10" fillId="0" borderId="0" xfId="0" applyFont="1" applyFill="1" applyProtection="1"/>
    <xf numFmtId="0" fontId="0" fillId="0" borderId="0" xfId="0" applyFill="1" applyProtection="1"/>
    <xf numFmtId="4" fontId="0" fillId="0" borderId="0" xfId="0" applyNumberFormat="1" applyFill="1" applyProtection="1"/>
    <xf numFmtId="3" fontId="0" fillId="0" borderId="0" xfId="0" applyNumberFormat="1" applyFill="1" applyProtection="1"/>
    <xf numFmtId="43" fontId="1" fillId="0" borderId="0" xfId="1" applyFill="1" applyProtection="1"/>
    <xf numFmtId="9" fontId="8" fillId="0" borderId="0" xfId="6" applyFont="1" applyFill="1" applyProtection="1"/>
    <xf numFmtId="0" fontId="8" fillId="0" borderId="0" xfId="0" applyFont="1" applyFill="1" applyAlignment="1" applyProtection="1">
      <alignment horizontal="center"/>
    </xf>
    <xf numFmtId="4" fontId="9" fillId="0" borderId="0" xfId="0" applyNumberFormat="1" applyFont="1" applyFill="1" applyAlignment="1" applyProtection="1">
      <alignment horizontal="center"/>
    </xf>
    <xf numFmtId="3" fontId="9" fillId="0" borderId="0" xfId="0" applyNumberFormat="1" applyFont="1" applyFill="1" applyAlignment="1" applyProtection="1">
      <alignment horizontal="center"/>
    </xf>
    <xf numFmtId="43" fontId="9" fillId="0" borderId="0" xfId="1" applyFont="1" applyFill="1" applyAlignment="1" applyProtection="1">
      <alignment horizontal="center"/>
    </xf>
    <xf numFmtId="0" fontId="9" fillId="0" borderId="0" xfId="0" applyFont="1" applyFill="1" applyBorder="1" applyProtection="1"/>
    <xf numFmtId="0" fontId="9" fillId="0" borderId="0" xfId="0" applyFont="1" applyFill="1" applyBorder="1" applyAlignment="1" applyProtection="1">
      <alignment horizontal="center"/>
    </xf>
    <xf numFmtId="4" fontId="9" fillId="0" borderId="0" xfId="0" applyNumberFormat="1" applyFont="1" applyFill="1" applyBorder="1" applyAlignment="1" applyProtection="1">
      <alignment horizontal="center"/>
    </xf>
    <xf numFmtId="43" fontId="9" fillId="0" borderId="0" xfId="1" applyFont="1" applyFill="1" applyBorder="1" applyAlignment="1" applyProtection="1">
      <alignment horizontal="center"/>
    </xf>
    <xf numFmtId="3" fontId="9" fillId="0" borderId="0" xfId="0" applyNumberFormat="1" applyFont="1" applyFill="1" applyBorder="1" applyAlignment="1" applyProtection="1">
      <alignment horizontal="center"/>
    </xf>
    <xf numFmtId="0" fontId="8" fillId="0" borderId="13" xfId="0" applyFont="1" applyFill="1" applyBorder="1" applyProtection="1"/>
    <xf numFmtId="0" fontId="8" fillId="0" borderId="8" xfId="0" applyFont="1" applyFill="1" applyBorder="1" applyProtection="1"/>
    <xf numFmtId="170" fontId="8" fillId="0" borderId="8" xfId="0" applyNumberFormat="1" applyFont="1" applyFill="1" applyBorder="1" applyProtection="1"/>
    <xf numFmtId="4" fontId="8" fillId="0" borderId="8" xfId="6" applyNumberFormat="1" applyFont="1" applyFill="1" applyBorder="1" applyProtection="1"/>
    <xf numFmtId="4" fontId="8" fillId="0" borderId="8" xfId="1" applyNumberFormat="1" applyFont="1" applyFill="1" applyBorder="1" applyProtection="1"/>
    <xf numFmtId="43" fontId="8" fillId="0" borderId="8" xfId="1" applyFont="1" applyFill="1" applyBorder="1" applyProtection="1"/>
    <xf numFmtId="164" fontId="8" fillId="0" borderId="8" xfId="1" applyNumberFormat="1" applyFont="1" applyFill="1" applyBorder="1" applyProtection="1"/>
    <xf numFmtId="3" fontId="8" fillId="0" borderId="8" xfId="1" applyNumberFormat="1" applyFont="1" applyFill="1" applyBorder="1" applyProtection="1"/>
    <xf numFmtId="165" fontId="8" fillId="0" borderId="8" xfId="6" applyNumberFormat="1" applyFont="1" applyFill="1" applyBorder="1" applyProtection="1"/>
    <xf numFmtId="9" fontId="8" fillId="0" borderId="16" xfId="6" applyFont="1" applyFill="1" applyBorder="1" applyProtection="1"/>
    <xf numFmtId="0" fontId="8" fillId="0" borderId="9" xfId="0" applyFont="1" applyFill="1" applyBorder="1" applyProtection="1"/>
    <xf numFmtId="170" fontId="8" fillId="0" borderId="0" xfId="0" applyNumberFormat="1" applyFont="1" applyFill="1" applyBorder="1" applyProtection="1"/>
    <xf numFmtId="9" fontId="8" fillId="0" borderId="0" xfId="6" applyFont="1" applyFill="1" applyBorder="1" applyProtection="1"/>
    <xf numFmtId="4" fontId="8" fillId="0" borderId="0" xfId="6" applyNumberFormat="1" applyFont="1" applyFill="1" applyBorder="1" applyProtection="1"/>
    <xf numFmtId="4" fontId="8" fillId="0" borderId="0" xfId="1" applyNumberFormat="1" applyFont="1" applyFill="1" applyBorder="1" applyProtection="1"/>
    <xf numFmtId="164" fontId="8" fillId="0" borderId="0" xfId="1" applyNumberFormat="1" applyFont="1" applyFill="1" applyBorder="1" applyProtection="1"/>
    <xf numFmtId="165" fontId="8" fillId="0" borderId="0" xfId="6" applyNumberFormat="1" applyFont="1" applyFill="1" applyBorder="1" applyProtection="1"/>
    <xf numFmtId="9" fontId="8" fillId="0" borderId="19" xfId="6" applyFont="1" applyFill="1" applyBorder="1" applyProtection="1"/>
    <xf numFmtId="0" fontId="8" fillId="0" borderId="10" xfId="0" applyFont="1" applyFill="1" applyBorder="1" applyProtection="1"/>
    <xf numFmtId="0" fontId="8" fillId="0" borderId="15" xfId="0" applyFont="1" applyFill="1" applyBorder="1" applyProtection="1"/>
    <xf numFmtId="170" fontId="8" fillId="0" borderId="15" xfId="0" applyNumberFormat="1" applyFont="1" applyFill="1" applyBorder="1" applyProtection="1"/>
    <xf numFmtId="9" fontId="8" fillId="0" borderId="15" xfId="6" applyFont="1" applyFill="1" applyBorder="1" applyProtection="1"/>
    <xf numFmtId="4" fontId="8" fillId="0" borderId="15" xfId="6" applyNumberFormat="1" applyFont="1" applyFill="1" applyBorder="1" applyProtection="1"/>
    <xf numFmtId="4" fontId="8" fillId="0" borderId="15" xfId="1" applyNumberFormat="1" applyFont="1" applyFill="1" applyBorder="1" applyProtection="1"/>
    <xf numFmtId="164" fontId="8" fillId="0" borderId="15" xfId="1" applyNumberFormat="1" applyFont="1" applyFill="1" applyBorder="1" applyProtection="1"/>
    <xf numFmtId="165" fontId="8" fillId="0" borderId="15" xfId="6" applyNumberFormat="1" applyFont="1" applyFill="1" applyBorder="1" applyProtection="1"/>
    <xf numFmtId="9" fontId="8" fillId="0" borderId="20" xfId="6" applyFont="1" applyFill="1" applyBorder="1" applyProtection="1"/>
    <xf numFmtId="0" fontId="8" fillId="0" borderId="3" xfId="0" applyFont="1" applyFill="1" applyBorder="1" applyProtection="1"/>
    <xf numFmtId="4" fontId="8" fillId="0" borderId="0" xfId="6" applyNumberFormat="1" applyFont="1" applyFill="1" applyProtection="1"/>
    <xf numFmtId="164" fontId="8" fillId="0" borderId="0" xfId="1" applyNumberFormat="1" applyFont="1" applyFill="1" applyProtection="1"/>
    <xf numFmtId="3" fontId="8" fillId="0" borderId="0" xfId="1" applyNumberFormat="1" applyFont="1" applyFill="1" applyProtection="1"/>
    <xf numFmtId="165" fontId="8" fillId="0" borderId="0" xfId="6" applyNumberFormat="1" applyFont="1" applyFill="1" applyProtection="1"/>
    <xf numFmtId="42" fontId="8" fillId="0" borderId="0" xfId="0" applyNumberFormat="1" applyFont="1" applyFill="1" applyProtection="1"/>
    <xf numFmtId="164" fontId="9" fillId="0" borderId="0" xfId="1" applyNumberFormat="1" applyFont="1" applyFill="1" applyAlignment="1" applyProtection="1">
      <alignment horizontal="center"/>
    </xf>
    <xf numFmtId="3" fontId="9" fillId="0" borderId="0" xfId="1" applyNumberFormat="1" applyFont="1" applyFill="1" applyAlignment="1" applyProtection="1">
      <alignment horizontal="center"/>
    </xf>
    <xf numFmtId="0" fontId="9" fillId="0" borderId="3" xfId="0" applyFont="1" applyFill="1" applyBorder="1" applyProtection="1"/>
    <xf numFmtId="0" fontId="9" fillId="0" borderId="3" xfId="0" applyFont="1" applyFill="1" applyBorder="1" applyAlignment="1" applyProtection="1">
      <alignment horizontal="center"/>
    </xf>
    <xf numFmtId="4" fontId="9" fillId="0" borderId="3" xfId="0" applyNumberFormat="1" applyFont="1" applyFill="1" applyBorder="1" applyAlignment="1" applyProtection="1">
      <alignment horizontal="center"/>
    </xf>
    <xf numFmtId="164" fontId="9" fillId="0" borderId="3" xfId="1" applyNumberFormat="1" applyFont="1" applyFill="1" applyBorder="1" applyAlignment="1" applyProtection="1">
      <alignment horizontal="center"/>
    </xf>
    <xf numFmtId="168" fontId="8" fillId="0" borderId="0" xfId="6" applyNumberFormat="1" applyFont="1" applyFill="1" applyProtection="1"/>
    <xf numFmtId="4" fontId="8" fillId="0" borderId="0" xfId="1" applyNumberFormat="1" applyFont="1" applyFill="1" applyProtection="1"/>
    <xf numFmtId="3" fontId="8" fillId="0" borderId="0" xfId="6" applyNumberFormat="1" applyFont="1" applyFill="1" applyProtection="1"/>
    <xf numFmtId="3" fontId="8" fillId="0" borderId="0" xfId="6" applyNumberFormat="1" applyFont="1" applyFill="1" applyAlignment="1" applyProtection="1">
      <alignment horizontal="right"/>
    </xf>
    <xf numFmtId="4" fontId="8" fillId="0" borderId="3" xfId="0" applyNumberFormat="1" applyFont="1" applyFill="1" applyBorder="1" applyProtection="1"/>
    <xf numFmtId="43" fontId="8" fillId="0" borderId="3" xfId="1" applyFont="1" applyFill="1" applyBorder="1" applyProtection="1"/>
    <xf numFmtId="164" fontId="8" fillId="0" borderId="3" xfId="1" applyNumberFormat="1" applyFont="1" applyFill="1" applyBorder="1" applyProtection="1"/>
    <xf numFmtId="3" fontId="8" fillId="0" borderId="3" xfId="1" applyNumberFormat="1" applyFont="1" applyFill="1" applyBorder="1" applyProtection="1"/>
    <xf numFmtId="165" fontId="8" fillId="0" borderId="3" xfId="6" applyNumberFormat="1" applyFont="1" applyFill="1" applyBorder="1" applyProtection="1"/>
    <xf numFmtId="0" fontId="11" fillId="0" borderId="0" xfId="0" applyFont="1" applyFill="1" applyProtection="1"/>
    <xf numFmtId="165" fontId="8" fillId="0" borderId="1" xfId="6" applyNumberFormat="1" applyFont="1" applyFill="1" applyBorder="1" applyProtection="1"/>
    <xf numFmtId="9" fontId="8" fillId="0" borderId="4" xfId="6" applyFont="1" applyFill="1" applyBorder="1" applyProtection="1"/>
    <xf numFmtId="3" fontId="8" fillId="10" borderId="3" xfId="1" applyNumberFormat="1" applyFont="1" applyFill="1" applyBorder="1" applyProtection="1">
      <protection locked="0"/>
    </xf>
    <xf numFmtId="170" fontId="8" fillId="10" borderId="0" xfId="0" applyNumberFormat="1" applyFont="1" applyFill="1" applyProtection="1">
      <protection locked="0"/>
    </xf>
    <xf numFmtId="1" fontId="8" fillId="0" borderId="8" xfId="6" applyNumberFormat="1" applyFont="1" applyFill="1" applyBorder="1" applyProtection="1"/>
    <xf numFmtId="1" fontId="8" fillId="0" borderId="0" xfId="6" applyNumberFormat="1" applyFont="1" applyFill="1" applyBorder="1" applyProtection="1"/>
    <xf numFmtId="1" fontId="8" fillId="0" borderId="15" xfId="6" applyNumberFormat="1" applyFont="1" applyFill="1" applyBorder="1" applyProtection="1"/>
    <xf numFmtId="1" fontId="21" fillId="0" borderId="0" xfId="0" applyNumberFormat="1" applyFont="1" applyFill="1" applyBorder="1"/>
    <xf numFmtId="1" fontId="1" fillId="0" borderId="0" xfId="0" applyNumberFormat="1" applyFont="1" applyFill="1" applyBorder="1"/>
    <xf numFmtId="0" fontId="25" fillId="0" borderId="0" xfId="0" applyFont="1"/>
    <xf numFmtId="3" fontId="24" fillId="0" borderId="0" xfId="1" applyNumberFormat="1" applyFont="1" applyBorder="1"/>
    <xf numFmtId="3" fontId="24" fillId="0" borderId="0" xfId="0" applyNumberFormat="1" applyFont="1"/>
    <xf numFmtId="0" fontId="24" fillId="0" borderId="15" xfId="0" applyFont="1" applyBorder="1"/>
    <xf numFmtId="0" fontId="24" fillId="0" borderId="0" xfId="0" applyFont="1" applyBorder="1"/>
    <xf numFmtId="0" fontId="24" fillId="0" borderId="3" xfId="0" applyFont="1" applyBorder="1"/>
    <xf numFmtId="0" fontId="25" fillId="0" borderId="0" xfId="0" applyFont="1" applyBorder="1"/>
    <xf numFmtId="1" fontId="24" fillId="0" borderId="0" xfId="0" applyNumberFormat="1" applyFont="1" applyBorder="1"/>
    <xf numFmtId="1" fontId="25" fillId="0" borderId="0" xfId="0" applyNumberFormat="1" applyFont="1" applyBorder="1"/>
    <xf numFmtId="164" fontId="26" fillId="0" borderId="0" xfId="1" applyNumberFormat="1" applyFont="1" applyAlignment="1">
      <alignment horizontal="center"/>
    </xf>
    <xf numFmtId="0" fontId="26" fillId="0" borderId="0" xfId="0" applyFont="1" applyAlignment="1">
      <alignment horizontal="center"/>
    </xf>
    <xf numFmtId="0" fontId="9" fillId="0" borderId="0" xfId="0" applyFont="1" applyBorder="1"/>
    <xf numFmtId="166" fontId="0" fillId="6" borderId="0" xfId="0" applyNumberFormat="1" applyFill="1"/>
    <xf numFmtId="1" fontId="8" fillId="3" borderId="0" xfId="0" applyNumberFormat="1" applyFont="1" applyFill="1" applyProtection="1">
      <protection locked="0"/>
    </xf>
    <xf numFmtId="1" fontId="8" fillId="3" borderId="15" xfId="0" applyNumberFormat="1" applyFont="1" applyFill="1" applyBorder="1" applyProtection="1">
      <protection locked="0"/>
    </xf>
    <xf numFmtId="9" fontId="22" fillId="0" borderId="0" xfId="6" applyFont="1" applyFill="1"/>
    <xf numFmtId="168" fontId="8" fillId="0" borderId="0" xfId="6" quotePrefix="1" applyNumberFormat="1" applyFont="1"/>
    <xf numFmtId="3" fontId="8" fillId="0" borderId="0" xfId="0" applyNumberFormat="1" applyFont="1" applyFill="1"/>
    <xf numFmtId="0" fontId="24" fillId="0" borderId="0" xfId="0" applyFont="1" applyFill="1"/>
    <xf numFmtId="0" fontId="24" fillId="0" borderId="0" xfId="0" applyFont="1" applyFill="1" applyBorder="1"/>
    <xf numFmtId="1" fontId="24" fillId="0" borderId="0" xfId="0" applyNumberFormat="1" applyFont="1" applyFill="1" applyBorder="1"/>
    <xf numFmtId="0" fontId="12" fillId="0" borderId="0" xfId="0" applyFont="1" applyFill="1" applyBorder="1"/>
    <xf numFmtId="0" fontId="19" fillId="0" borderId="0" xfId="0" applyFont="1" applyFill="1"/>
    <xf numFmtId="0" fontId="10" fillId="0" borderId="0" xfId="0" applyFont="1" applyFill="1"/>
    <xf numFmtId="3" fontId="0" fillId="0" borderId="0" xfId="0" applyNumberFormat="1" applyFill="1"/>
    <xf numFmtId="43" fontId="1" fillId="0" borderId="0" xfId="1" applyFill="1"/>
    <xf numFmtId="9" fontId="8" fillId="0" borderId="0" xfId="6" applyFont="1" applyFill="1" applyProtection="1">
      <protection locked="0"/>
    </xf>
    <xf numFmtId="0" fontId="9" fillId="0" borderId="0" xfId="0" applyFont="1" applyFill="1"/>
    <xf numFmtId="0" fontId="9" fillId="0" borderId="0" xfId="0" applyFont="1" applyFill="1" applyAlignment="1">
      <alignment horizontal="center"/>
    </xf>
    <xf numFmtId="4" fontId="9" fillId="0" borderId="0" xfId="0" applyNumberFormat="1" applyFont="1" applyFill="1" applyAlignment="1">
      <alignment horizontal="center"/>
    </xf>
    <xf numFmtId="3" fontId="9" fillId="0" borderId="0" xfId="0" applyNumberFormat="1" applyFont="1" applyFill="1" applyAlignment="1">
      <alignment horizontal="center"/>
    </xf>
    <xf numFmtId="43" fontId="9" fillId="0" borderId="0" xfId="1" applyFont="1" applyFill="1" applyAlignment="1">
      <alignment horizontal="center"/>
    </xf>
    <xf numFmtId="0" fontId="9" fillId="0" borderId="3" xfId="0" applyFont="1" applyFill="1" applyBorder="1"/>
    <xf numFmtId="0" fontId="9" fillId="0" borderId="3" xfId="0" applyFont="1" applyFill="1" applyBorder="1" applyAlignment="1">
      <alignment horizontal="center"/>
    </xf>
    <xf numFmtId="4" fontId="9" fillId="0" borderId="3" xfId="0" applyNumberFormat="1" applyFont="1" applyFill="1" applyBorder="1" applyAlignment="1">
      <alignment horizontal="center"/>
    </xf>
    <xf numFmtId="3" fontId="9" fillId="0" borderId="3" xfId="0" applyNumberFormat="1" applyFont="1" applyFill="1" applyBorder="1" applyAlignment="1">
      <alignment horizontal="center"/>
    </xf>
    <xf numFmtId="0" fontId="25" fillId="0" borderId="0" xfId="0" applyFont="1" applyFill="1"/>
    <xf numFmtId="0" fontId="25" fillId="0" borderId="0" xfId="0" applyFont="1" applyFill="1" applyBorder="1"/>
    <xf numFmtId="1" fontId="25" fillId="0" borderId="0" xfId="0" applyNumberFormat="1" applyFont="1" applyFill="1" applyBorder="1"/>
    <xf numFmtId="0" fontId="9" fillId="0" borderId="0" xfId="0" applyFont="1" applyFill="1" applyBorder="1"/>
    <xf numFmtId="1" fontId="8" fillId="0" borderId="0" xfId="0" applyNumberFormat="1" applyFont="1" applyFill="1" applyProtection="1">
      <protection locked="0"/>
    </xf>
    <xf numFmtId="170" fontId="8" fillId="0" borderId="0" xfId="0" applyNumberFormat="1" applyFont="1" applyFill="1" applyBorder="1" applyProtection="1">
      <protection locked="0"/>
    </xf>
    <xf numFmtId="9" fontId="8" fillId="0" borderId="0" xfId="6" applyFont="1" applyFill="1" applyBorder="1" applyProtection="1">
      <protection locked="0"/>
    </xf>
    <xf numFmtId="4" fontId="8" fillId="0" borderId="0" xfId="6" applyNumberFormat="1" applyFont="1" applyFill="1" applyBorder="1"/>
    <xf numFmtId="164" fontId="8" fillId="0" borderId="0" xfId="1" applyNumberFormat="1" applyFont="1" applyFill="1" applyBorder="1"/>
    <xf numFmtId="165" fontId="8" fillId="0" borderId="0" xfId="6" applyNumberFormat="1" applyFont="1" applyFill="1" applyBorder="1"/>
    <xf numFmtId="9" fontId="8" fillId="0" borderId="0" xfId="6" applyFont="1" applyFill="1" applyBorder="1"/>
    <xf numFmtId="3" fontId="24" fillId="0" borderId="0" xfId="1" applyNumberFormat="1" applyFont="1" applyFill="1" applyBorder="1"/>
    <xf numFmtId="0" fontId="8" fillId="0" borderId="15" xfId="0" applyFont="1" applyFill="1" applyBorder="1" applyProtection="1">
      <protection locked="0"/>
    </xf>
    <xf numFmtId="0" fontId="8" fillId="0" borderId="3" xfId="0" applyFont="1" applyFill="1" applyBorder="1"/>
    <xf numFmtId="170" fontId="8" fillId="0" borderId="0" xfId="0" applyNumberFormat="1" applyFont="1" applyFill="1"/>
    <xf numFmtId="4" fontId="8" fillId="0" borderId="0" xfId="6" applyNumberFormat="1" applyFont="1" applyFill="1"/>
    <xf numFmtId="164" fontId="8" fillId="0" borderId="0" xfId="1" applyNumberFormat="1" applyFont="1" applyFill="1"/>
    <xf numFmtId="165" fontId="8" fillId="0" borderId="0" xfId="6" applyNumberFormat="1" applyFont="1" applyFill="1"/>
    <xf numFmtId="3" fontId="24" fillId="0" borderId="0" xfId="0" applyNumberFormat="1" applyFont="1" applyFill="1"/>
    <xf numFmtId="42" fontId="8" fillId="0" borderId="0" xfId="0" applyNumberFormat="1" applyFont="1" applyFill="1"/>
    <xf numFmtId="164" fontId="9" fillId="0" borderId="0" xfId="1" applyNumberFormat="1" applyFont="1" applyFill="1" applyAlignment="1">
      <alignment horizontal="center"/>
    </xf>
    <xf numFmtId="3" fontId="9" fillId="0" borderId="0" xfId="1" applyNumberFormat="1" applyFont="1" applyFill="1" applyAlignment="1">
      <alignment horizontal="center"/>
    </xf>
    <xf numFmtId="164" fontId="9" fillId="0" borderId="3" xfId="1" applyNumberFormat="1" applyFont="1" applyFill="1" applyBorder="1" applyAlignment="1">
      <alignment horizontal="center"/>
    </xf>
    <xf numFmtId="0" fontId="24" fillId="0" borderId="15" xfId="0" applyFont="1" applyFill="1" applyBorder="1"/>
    <xf numFmtId="168" fontId="8" fillId="0" borderId="0" xfId="6" quotePrefix="1" applyNumberFormat="1" applyFont="1" applyFill="1"/>
    <xf numFmtId="4" fontId="8" fillId="0" borderId="0" xfId="1" applyNumberFormat="1" applyFont="1" applyFill="1"/>
    <xf numFmtId="168" fontId="8" fillId="0" borderId="0" xfId="6" applyNumberFormat="1" applyFont="1" applyFill="1"/>
    <xf numFmtId="3" fontId="8" fillId="0" borderId="0" xfId="6" applyNumberFormat="1" applyFont="1" applyFill="1"/>
    <xf numFmtId="4" fontId="8" fillId="0" borderId="0" xfId="1" applyNumberFormat="1" applyFont="1" applyFill="1" applyBorder="1"/>
    <xf numFmtId="170" fontId="8" fillId="0" borderId="15" xfId="0" applyNumberFormat="1" applyFont="1" applyFill="1" applyBorder="1" applyProtection="1">
      <protection locked="0"/>
    </xf>
    <xf numFmtId="9" fontId="8" fillId="0" borderId="15" xfId="6" applyFont="1" applyFill="1" applyBorder="1" applyProtection="1">
      <protection locked="0"/>
    </xf>
    <xf numFmtId="4" fontId="8" fillId="0" borderId="15" xfId="6" applyNumberFormat="1" applyFont="1" applyFill="1" applyBorder="1"/>
    <xf numFmtId="4" fontId="8" fillId="0" borderId="15" xfId="1" applyNumberFormat="1" applyFont="1" applyFill="1" applyBorder="1"/>
    <xf numFmtId="164" fontId="8" fillId="0" borderId="15" xfId="1" applyNumberFormat="1" applyFont="1" applyFill="1" applyBorder="1"/>
    <xf numFmtId="165" fontId="8" fillId="0" borderId="15" xfId="6" applyNumberFormat="1" applyFont="1" applyFill="1" applyBorder="1"/>
    <xf numFmtId="9" fontId="8" fillId="0" borderId="15" xfId="6" applyFont="1" applyFill="1" applyBorder="1"/>
    <xf numFmtId="3" fontId="8" fillId="0" borderId="0" xfId="6" applyNumberFormat="1" applyFont="1" applyFill="1" applyAlignment="1">
      <alignment horizontal="right"/>
    </xf>
    <xf numFmtId="4" fontId="8" fillId="0" borderId="3" xfId="0" applyNumberFormat="1" applyFont="1" applyFill="1" applyBorder="1"/>
    <xf numFmtId="43" fontId="8" fillId="0" borderId="3" xfId="1" applyFont="1" applyFill="1" applyBorder="1"/>
    <xf numFmtId="164" fontId="8" fillId="0" borderId="3" xfId="1" applyNumberFormat="1" applyFont="1" applyFill="1" applyBorder="1"/>
    <xf numFmtId="3" fontId="8" fillId="0" borderId="3" xfId="1" applyNumberFormat="1" applyFont="1" applyFill="1" applyBorder="1"/>
    <xf numFmtId="165" fontId="8" fillId="0" borderId="3" xfId="6" applyNumberFormat="1" applyFont="1" applyFill="1" applyBorder="1"/>
    <xf numFmtId="0" fontId="24" fillId="0" borderId="3" xfId="0" applyFont="1" applyFill="1" applyBorder="1"/>
    <xf numFmtId="0" fontId="11" fillId="0" borderId="0" xfId="0" applyFont="1" applyFill="1"/>
    <xf numFmtId="3" fontId="8" fillId="0" borderId="1" xfId="1" applyNumberFormat="1" applyFont="1" applyFill="1" applyBorder="1" applyProtection="1">
      <protection locked="0"/>
    </xf>
    <xf numFmtId="169" fontId="8" fillId="0" borderId="0" xfId="0" quotePrefix="1" applyNumberFormat="1" applyFont="1"/>
    <xf numFmtId="0" fontId="1" fillId="0" borderId="0" xfId="0" quotePrefix="1" applyFont="1" applyFill="1"/>
    <xf numFmtId="169" fontId="8" fillId="0" borderId="0" xfId="0" quotePrefix="1" applyNumberFormat="1" applyFont="1" applyFill="1"/>
    <xf numFmtId="0" fontId="0" fillId="0" borderId="0" xfId="0" quotePrefix="1" applyFill="1"/>
    <xf numFmtId="9" fontId="8" fillId="0" borderId="0" xfId="0" applyNumberFormat="1" applyFont="1" applyFill="1"/>
    <xf numFmtId="2" fontId="8" fillId="0" borderId="0" xfId="1" applyNumberFormat="1" applyFont="1"/>
    <xf numFmtId="0" fontId="9" fillId="0" borderId="0" xfId="0" applyFont="1" applyBorder="1"/>
    <xf numFmtId="0" fontId="9" fillId="0" borderId="0" xfId="0" applyFont="1" applyFill="1" applyBorder="1" applyProtection="1"/>
    <xf numFmtId="9" fontId="8" fillId="0" borderId="8" xfId="0" applyNumberFormat="1" applyFont="1" applyFill="1" applyBorder="1" applyProtection="1"/>
    <xf numFmtId="9" fontId="8" fillId="0" borderId="0" xfId="0" applyNumberFormat="1" applyFont="1" applyFill="1" applyBorder="1" applyProtection="1"/>
    <xf numFmtId="9" fontId="8" fillId="0" borderId="15" xfId="0" applyNumberFormat="1" applyFont="1" applyFill="1" applyBorder="1" applyProtection="1"/>
    <xf numFmtId="0" fontId="21" fillId="11" borderId="0" xfId="0" applyFont="1" applyFill="1"/>
    <xf numFmtId="3" fontId="0" fillId="11" borderId="0" xfId="0" applyNumberFormat="1" applyFill="1"/>
    <xf numFmtId="0" fontId="21" fillId="12" borderId="0" xfId="0" applyFont="1" applyFill="1"/>
    <xf numFmtId="3" fontId="0" fillId="12" borderId="0" xfId="0" applyNumberFormat="1" applyFill="1"/>
    <xf numFmtId="0" fontId="21" fillId="13" borderId="0" xfId="0" applyFont="1" applyFill="1"/>
    <xf numFmtId="166" fontId="0" fillId="13" borderId="0" xfId="0" applyNumberFormat="1" applyFill="1"/>
    <xf numFmtId="0" fontId="24" fillId="14" borderId="0" xfId="0" applyFont="1" applyFill="1"/>
    <xf numFmtId="165" fontId="8" fillId="10" borderId="0" xfId="0" applyNumberFormat="1" applyFont="1" applyFill="1" applyProtection="1">
      <protection locked="0"/>
    </xf>
    <xf numFmtId="0" fontId="28" fillId="0" borderId="0" xfId="0" applyFont="1" applyFill="1"/>
    <xf numFmtId="0" fontId="29" fillId="0" borderId="0" xfId="0" applyFont="1"/>
    <xf numFmtId="49" fontId="25" fillId="0" borderId="0" xfId="0" applyNumberFormat="1" applyFont="1" applyFill="1" applyAlignment="1" applyProtection="1">
      <alignment horizontal="center"/>
    </xf>
    <xf numFmtId="49" fontId="24" fillId="0" borderId="0" xfId="0" applyNumberFormat="1" applyFont="1"/>
    <xf numFmtId="0" fontId="9" fillId="0" borderId="0" xfId="0" applyFont="1" applyFill="1" applyBorder="1" applyProtection="1"/>
    <xf numFmtId="0" fontId="9" fillId="0" borderId="0" xfId="0" applyFont="1" applyFill="1" applyBorder="1"/>
    <xf numFmtId="0" fontId="9" fillId="0" borderId="0" xfId="0" applyFont="1" applyBorder="1"/>
    <xf numFmtId="0" fontId="8" fillId="6" borderId="0" xfId="0" applyFont="1" applyFill="1" applyAlignment="1">
      <alignment horizontal="center"/>
    </xf>
    <xf numFmtId="0" fontId="1" fillId="9" borderId="0" xfId="0" applyFont="1" applyFill="1" applyAlignment="1">
      <alignment horizontal="center"/>
    </xf>
    <xf numFmtId="0" fontId="21" fillId="9" borderId="0" xfId="0" applyFont="1" applyFill="1" applyAlignment="1">
      <alignment horizontal="center"/>
    </xf>
    <xf numFmtId="0" fontId="1" fillId="8" borderId="0" xfId="0" applyFont="1" applyFill="1" applyAlignment="1">
      <alignment horizontal="center"/>
    </xf>
    <xf numFmtId="0" fontId="21" fillId="8" borderId="0" xfId="0" applyFont="1" applyFill="1" applyAlignment="1">
      <alignment horizontal="center"/>
    </xf>
    <xf numFmtId="0" fontId="1" fillId="6" borderId="0" xfId="0" applyFont="1" applyFill="1" applyAlignment="1">
      <alignment horizontal="center"/>
    </xf>
    <xf numFmtId="0" fontId="21" fillId="6" borderId="0" xfId="0" applyFont="1" applyFill="1" applyAlignment="1">
      <alignment horizontal="center"/>
    </xf>
    <xf numFmtId="0" fontId="1" fillId="0" borderId="0" xfId="0" applyFont="1" applyFill="1" applyBorder="1" applyAlignment="1">
      <alignment horizontal="center"/>
    </xf>
    <xf numFmtId="0" fontId="21" fillId="0" borderId="0" xfId="0" applyFont="1" applyFill="1" applyBorder="1" applyAlignment="1">
      <alignment horizontal="center"/>
    </xf>
    <xf numFmtId="0" fontId="21" fillId="7" borderId="0" xfId="0" applyFont="1" applyFill="1" applyAlignment="1">
      <alignment horizontal="center"/>
    </xf>
    <xf numFmtId="0" fontId="1" fillId="13" borderId="0" xfId="0" applyFont="1" applyFill="1" applyAlignment="1">
      <alignment horizontal="center"/>
    </xf>
    <xf numFmtId="0" fontId="21" fillId="13" borderId="0" xfId="0" applyFont="1" applyFill="1" applyAlignment="1">
      <alignment horizontal="center"/>
    </xf>
    <xf numFmtId="0" fontId="1" fillId="7" borderId="0" xfId="0" applyFont="1" applyFill="1" applyAlignment="1">
      <alignment horizontal="center"/>
    </xf>
    <xf numFmtId="0" fontId="1" fillId="11" borderId="0" xfId="0" applyFont="1" applyFill="1" applyAlignment="1">
      <alignment horizontal="center"/>
    </xf>
    <xf numFmtId="0" fontId="21" fillId="11" borderId="0" xfId="0" applyFont="1" applyFill="1" applyAlignment="1">
      <alignment horizontal="center"/>
    </xf>
    <xf numFmtId="0" fontId="1" fillId="12" borderId="0" xfId="0" applyFont="1" applyFill="1" applyAlignment="1">
      <alignment horizontal="center"/>
    </xf>
    <xf numFmtId="0" fontId="21" fillId="12" borderId="0" xfId="0" applyFont="1" applyFill="1" applyAlignment="1">
      <alignment horizontal="center"/>
    </xf>
    <xf numFmtId="0" fontId="4" fillId="0" borderId="13" xfId="0" applyFont="1" applyBorder="1" applyAlignment="1">
      <alignment horizontal="center"/>
    </xf>
    <xf numFmtId="0" fontId="4" fillId="0" borderId="16" xfId="0" applyFont="1" applyBorder="1" applyAlignment="1">
      <alignment horizontal="center"/>
    </xf>
    <xf numFmtId="0" fontId="4" fillId="9" borderId="0" xfId="0" applyFont="1" applyFill="1" applyAlignment="1">
      <alignment horizontal="center"/>
    </xf>
    <xf numFmtId="0" fontId="20" fillId="9" borderId="8" xfId="0" applyFont="1" applyFill="1" applyBorder="1" applyAlignment="1">
      <alignment horizontal="center"/>
    </xf>
  </cellXfs>
  <cellStyles count="7">
    <cellStyle name="Comma" xfId="1" builtinId="3"/>
    <cellStyle name="Currency" xfId="2" builtinId="4"/>
    <cellStyle name="Header1" xfId="3" xr:uid="{00000000-0005-0000-0000-000002000000}"/>
    <cellStyle name="Header2" xfId="4" xr:uid="{00000000-0005-0000-0000-000003000000}"/>
    <cellStyle name="Normal" xfId="0" builtinId="0"/>
    <cellStyle name="Normal_BSW GHC CSS 16DEC05" xfId="5" xr:uid="{00000000-0005-0000-0000-000005000000}"/>
    <cellStyle name="Percent" xfId="6" builtinId="5"/>
  </cellStyles>
  <dxfs count="0"/>
  <tableStyles count="0" defaultTableStyle="TableStyleMedium9" defaultPivotStyle="PivotStyleLight16"/>
  <colors>
    <mruColors>
      <color rgb="FFCC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18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">
    <pageSetUpPr fitToPage="1"/>
  </sheetPr>
  <dimension ref="A1:ER42"/>
  <sheetViews>
    <sheetView tabSelected="1" workbookViewId="0">
      <selection activeCell="B3" sqref="B3"/>
    </sheetView>
  </sheetViews>
  <sheetFormatPr defaultColWidth="9.33203125" defaultRowHeight="12.75" x14ac:dyDescent="0.2"/>
  <cols>
    <col min="1" max="1" width="27.1640625" style="2" bestFit="1" customWidth="1"/>
    <col min="2" max="2" width="21" style="5" customWidth="1"/>
    <col min="3" max="3" width="15.33203125" style="2" customWidth="1"/>
    <col min="4" max="4" width="13.6640625" style="2" bestFit="1" customWidth="1"/>
    <col min="5" max="5" width="13.83203125" style="2" customWidth="1"/>
    <col min="6" max="6" width="7" style="2" customWidth="1"/>
    <col min="7" max="7" width="15.1640625" style="2" bestFit="1" customWidth="1"/>
    <col min="8" max="8" width="14.1640625" style="2" customWidth="1"/>
    <col min="9" max="9" width="15.1640625" style="2" bestFit="1" customWidth="1"/>
    <col min="10" max="10" width="14.1640625" style="2" customWidth="1"/>
    <col min="11" max="11" width="10" style="2" customWidth="1"/>
    <col min="12" max="12" width="12.33203125" style="2" customWidth="1"/>
    <col min="13" max="13" width="11.5" style="2" customWidth="1"/>
    <col min="14" max="14" width="10.83203125" style="31" customWidth="1"/>
    <col min="15" max="15" width="11.6640625" style="2" customWidth="1"/>
    <col min="16" max="16" width="11.5" style="2" customWidth="1"/>
    <col min="17" max="17" width="10" style="2" customWidth="1"/>
    <col min="18" max="18" width="11.1640625" style="2" customWidth="1"/>
    <col min="19" max="19" width="10.83203125" style="2" customWidth="1"/>
    <col min="20" max="20" width="9.33203125" style="2"/>
    <col min="21" max="22" width="9.33203125" style="41"/>
    <col min="23" max="23" width="27.6640625" style="41" bestFit="1" customWidth="1"/>
    <col min="24" max="24" width="12.1640625" style="41" customWidth="1"/>
    <col min="25" max="25" width="21.33203125" style="41" bestFit="1" customWidth="1"/>
    <col min="26" max="148" width="9.33203125" style="41"/>
    <col min="149" max="16384" width="9.33203125" style="2"/>
  </cols>
  <sheetData>
    <row r="1" spans="1:23" x14ac:dyDescent="0.2">
      <c r="A1" s="2" t="s">
        <v>184</v>
      </c>
      <c r="B1" s="85" t="s">
        <v>271</v>
      </c>
      <c r="D1" s="123" t="s">
        <v>161</v>
      </c>
      <c r="E1" s="123"/>
      <c r="F1" s="123"/>
      <c r="G1" s="123"/>
      <c r="H1" s="123"/>
    </row>
    <row r="2" spans="1:23" x14ac:dyDescent="0.2">
      <c r="A2" s="2" t="s">
        <v>185</v>
      </c>
      <c r="B2" s="85" t="s">
        <v>270</v>
      </c>
      <c r="D2" s="123" t="s">
        <v>188</v>
      </c>
      <c r="E2" s="123"/>
      <c r="F2" s="123"/>
      <c r="G2" s="123"/>
      <c r="H2" s="123"/>
    </row>
    <row r="3" spans="1:23" x14ac:dyDescent="0.2">
      <c r="A3" s="2" t="s">
        <v>157</v>
      </c>
      <c r="B3" s="135" t="s">
        <v>275</v>
      </c>
      <c r="W3" s="42"/>
    </row>
    <row r="4" spans="1:23" x14ac:dyDescent="0.2">
      <c r="A4" s="2" t="s">
        <v>2</v>
      </c>
      <c r="B4" s="57" t="s">
        <v>29</v>
      </c>
      <c r="W4" s="42"/>
    </row>
    <row r="5" spans="1:23" x14ac:dyDescent="0.2">
      <c r="A5" s="2" t="s">
        <v>3</v>
      </c>
      <c r="B5" s="97" t="s">
        <v>18</v>
      </c>
      <c r="D5" s="4" t="str">
        <f>IF(B5="SELECT ONE","YOU MUST ENTER BILLING TYPE"," ")</f>
        <v xml:space="preserve"> </v>
      </c>
      <c r="I5" s="2" t="s">
        <v>154</v>
      </c>
      <c r="J5" s="194">
        <v>0.5</v>
      </c>
      <c r="W5" s="42"/>
    </row>
    <row r="6" spans="1:23" x14ac:dyDescent="0.2">
      <c r="A6" s="2" t="s">
        <v>144</v>
      </c>
      <c r="B6" s="97" t="s">
        <v>132</v>
      </c>
      <c r="D6" s="4" t="str">
        <f>IF(B6="SELECT ONE","YOU MUST ENTER MARKET"," ")</f>
        <v xml:space="preserve"> </v>
      </c>
      <c r="W6" s="42"/>
    </row>
    <row r="7" spans="1:23" x14ac:dyDescent="0.2">
      <c r="A7" s="2" t="s">
        <v>4</v>
      </c>
      <c r="B7" s="232">
        <f>MIN(BID!B6)</f>
        <v>43009</v>
      </c>
      <c r="W7" s="42"/>
    </row>
    <row r="8" spans="1:23" x14ac:dyDescent="0.2">
      <c r="A8" s="2" t="s">
        <v>5</v>
      </c>
      <c r="B8" s="84">
        <f>MAX(BID!B7)</f>
        <v>43428</v>
      </c>
      <c r="C8" s="4"/>
      <c r="D8"/>
      <c r="E8"/>
      <c r="F8"/>
      <c r="G8"/>
      <c r="H8"/>
      <c r="I8"/>
      <c r="J8"/>
      <c r="K8"/>
      <c r="L8"/>
      <c r="M8"/>
      <c r="N8" s="49"/>
      <c r="O8"/>
      <c r="W8" s="42"/>
    </row>
    <row r="9" spans="1:23" x14ac:dyDescent="0.2">
      <c r="A9" s="2" t="s">
        <v>6</v>
      </c>
      <c r="B9" s="97" t="s">
        <v>268</v>
      </c>
      <c r="C9" s="4"/>
      <c r="D9" t="s">
        <v>88</v>
      </c>
      <c r="E9"/>
      <c r="F9"/>
      <c r="G9"/>
      <c r="H9"/>
      <c r="I9"/>
      <c r="J9"/>
      <c r="K9"/>
      <c r="L9"/>
      <c r="M9"/>
      <c r="N9" s="49"/>
      <c r="O9"/>
      <c r="W9" s="42"/>
    </row>
    <row r="10" spans="1:23" x14ac:dyDescent="0.2">
      <c r="A10" s="2" t="s">
        <v>87</v>
      </c>
      <c r="B10" s="97" t="s">
        <v>269</v>
      </c>
      <c r="C10" s="4"/>
      <c r="D10" s="136" t="s">
        <v>160</v>
      </c>
      <c r="E10" s="136"/>
      <c r="F10" s="136"/>
      <c r="G10" s="136"/>
      <c r="H10"/>
      <c r="I10"/>
      <c r="J10"/>
      <c r="K10"/>
      <c r="L10"/>
      <c r="M10"/>
      <c r="N10" s="49"/>
      <c r="O10"/>
      <c r="W10" s="42"/>
    </row>
    <row r="11" spans="1:23" x14ac:dyDescent="0.2">
      <c r="A11" s="2" t="s">
        <v>186</v>
      </c>
      <c r="B11" s="97" t="s">
        <v>272</v>
      </c>
      <c r="C11" s="4"/>
      <c r="D11" s="136" t="s">
        <v>90</v>
      </c>
      <c r="E11" s="136"/>
      <c r="F11" s="136"/>
      <c r="G11" s="136"/>
      <c r="H11"/>
      <c r="I11"/>
      <c r="J11"/>
      <c r="K11"/>
      <c r="L11"/>
      <c r="M11"/>
      <c r="N11" s="49"/>
      <c r="O11"/>
      <c r="W11" s="42"/>
    </row>
    <row r="12" spans="1:23" x14ac:dyDescent="0.2">
      <c r="A12" s="2" t="s">
        <v>190</v>
      </c>
      <c r="B12" s="97" t="s">
        <v>274</v>
      </c>
      <c r="C12" s="4"/>
      <c r="D12" s="234" t="s">
        <v>183</v>
      </c>
      <c r="E12" s="136"/>
      <c r="F12" s="136"/>
      <c r="G12" s="136"/>
      <c r="H12"/>
      <c r="I12"/>
      <c r="J12"/>
      <c r="K12"/>
      <c r="L12"/>
      <c r="M12"/>
      <c r="N12" s="49"/>
      <c r="O12"/>
      <c r="W12" s="42"/>
    </row>
    <row r="13" spans="1:23" x14ac:dyDescent="0.2">
      <c r="A13" s="2" t="s">
        <v>187</v>
      </c>
      <c r="B13" s="97" t="s">
        <v>273</v>
      </c>
      <c r="C13" s="4"/>
      <c r="D13" s="234" t="s">
        <v>189</v>
      </c>
      <c r="E13" s="136"/>
      <c r="F13" s="136"/>
      <c r="G13" s="136"/>
      <c r="H13"/>
      <c r="I13"/>
      <c r="J13"/>
      <c r="K13"/>
      <c r="L13"/>
      <c r="M13"/>
      <c r="N13" s="49"/>
      <c r="O13"/>
      <c r="W13" s="42"/>
    </row>
    <row r="14" spans="1:23" x14ac:dyDescent="0.2">
      <c r="A14" s="2" t="s">
        <v>70</v>
      </c>
      <c r="B14" s="191" t="str">
        <f>IF($B$6="NA","USD",IF($B$6="ITALY","EUR",IF($B$6="BENELUX-USD","USD",IF($B$6="SEK","SEK",IF($B$6="INDIA-INR","INR",IF($B$6="INDONESIA-IDR","IDR",IF($B$6="SWITZERLAND-EUR","EURO",IF($B$6="SWITZERLAND-CHF","CHF",IF($B$6="UK-GBP","GBP",IF($B$6="UK-EURO","EUR",IF($B$6="UK-USD","USD",IF($B$6="AUS","AUD",IF($B$6="TURKEY-USD","USD",IF($B$6="TURKEY-TKL","TRY",IF($B$6="HONG KONG","USD",IF($B$6="JAPAN","JPY","EUR"))))))))))))))))</f>
        <v>USD</v>
      </c>
      <c r="C14" s="4"/>
      <c r="D14" s="3"/>
      <c r="E14" s="141"/>
      <c r="F14" s="141"/>
      <c r="G14" s="141"/>
      <c r="H14"/>
      <c r="I14"/>
      <c r="J14"/>
      <c r="K14"/>
      <c r="L14"/>
      <c r="M14"/>
      <c r="N14" s="49"/>
      <c r="O14"/>
      <c r="W14" s="42"/>
    </row>
    <row r="15" spans="1:23" x14ac:dyDescent="0.2">
      <c r="A15" s="250" t="s">
        <v>250</v>
      </c>
      <c r="B15" s="462" t="s">
        <v>258</v>
      </c>
      <c r="C15" s="360"/>
      <c r="D15" s="360" t="s">
        <v>267</v>
      </c>
      <c r="E15" s="460"/>
      <c r="F15" s="460"/>
      <c r="G15" s="460"/>
      <c r="H15" s="461"/>
      <c r="I15" s="461"/>
      <c r="J15" s="461"/>
      <c r="K15" s="461"/>
      <c r="L15" s="461"/>
      <c r="M15"/>
      <c r="N15" s="49"/>
      <c r="O15"/>
      <c r="W15" s="42"/>
    </row>
    <row r="16" spans="1:23" x14ac:dyDescent="0.2">
      <c r="A16" s="2" t="s">
        <v>30</v>
      </c>
      <c r="B16" s="55">
        <f>BID!P61</f>
        <v>1032000</v>
      </c>
      <c r="D16" s="375" t="str">
        <f>IF(B15="SELECT ONE","You must ENTER - Please select a Type of Project","")</f>
        <v/>
      </c>
      <c r="E16" s="51"/>
      <c r="F16" s="51"/>
      <c r="G16" s="51"/>
      <c r="H16" s="51"/>
      <c r="I16" s="51"/>
      <c r="J16" s="51"/>
      <c r="K16" s="51"/>
      <c r="W16" s="42"/>
    </row>
    <row r="17" spans="1:23" x14ac:dyDescent="0.2">
      <c r="A17" s="2" t="s">
        <v>31</v>
      </c>
      <c r="B17" s="55">
        <f>BID!M59</f>
        <v>988800</v>
      </c>
      <c r="D17" s="4" t="str">
        <f>IF(B10="SELECT ONE","YOU MUST ENTER LICENSE DEAL"," ")</f>
        <v xml:space="preserve"> </v>
      </c>
      <c r="W17" s="42"/>
    </row>
    <row r="18" spans="1:23" x14ac:dyDescent="0.2">
      <c r="A18" s="2" t="s">
        <v>32</v>
      </c>
      <c r="B18" s="56">
        <f>B16-B17</f>
        <v>43200</v>
      </c>
      <c r="D18" s="4" t="str">
        <f>IF(B11="SELECT ONE","YOU MUST ENTER Method of Delivery"," ")</f>
        <v xml:space="preserve"> </v>
      </c>
    </row>
    <row r="19" spans="1:23" x14ac:dyDescent="0.2">
      <c r="A19" s="2" t="s">
        <v>33</v>
      </c>
      <c r="B19" s="58">
        <f>IF(B16=0,"",B18/B16)</f>
        <v>4.1860465116279069E-2</v>
      </c>
    </row>
    <row r="20" spans="1:23" x14ac:dyDescent="0.2">
      <c r="A20" s="2" t="s">
        <v>192</v>
      </c>
      <c r="B20" s="6" t="str">
        <f>IF(B6="NA","NA",IF(B6="AUS","APAC",IF(B6="HONG KONG","APAC",IF(B6="JAPAN","JAPAN","EU"))))</f>
        <v>NA</v>
      </c>
      <c r="C20" s="4" t="str">
        <f>IF(B19&lt;Margin_Target,"Below 50% Margin"," ")</f>
        <v>Below 50% Margin</v>
      </c>
    </row>
    <row r="21" spans="1:23" ht="13.5" thickBot="1" x14ac:dyDescent="0.25">
      <c r="A21" s="369">
        <f>BID!V32</f>
        <v>0</v>
      </c>
      <c r="B21" s="370" t="b">
        <f>IF(B6="NA",IF(A21&gt;0,"YES"))</f>
        <v>0</v>
      </c>
    </row>
    <row r="22" spans="1:23" x14ac:dyDescent="0.2">
      <c r="A22" s="62" t="s">
        <v>142</v>
      </c>
      <c r="B22" s="75"/>
      <c r="C22" s="52"/>
      <c r="D22" s="52"/>
      <c r="E22" s="52"/>
      <c r="F22" s="75"/>
      <c r="G22" s="52"/>
      <c r="H22" s="52"/>
      <c r="I22" s="52"/>
      <c r="J22" s="52"/>
      <c r="K22" s="52"/>
      <c r="L22" s="76"/>
    </row>
    <row r="23" spans="1:23" x14ac:dyDescent="0.2">
      <c r="A23" s="53"/>
      <c r="B23" s="77" t="s">
        <v>62</v>
      </c>
      <c r="C23" s="77" t="s">
        <v>59</v>
      </c>
      <c r="D23" s="77" t="s">
        <v>15</v>
      </c>
      <c r="E23" s="77" t="s">
        <v>14</v>
      </c>
      <c r="F23" s="77"/>
      <c r="G23" s="77" t="s">
        <v>30</v>
      </c>
      <c r="H23" s="77" t="s">
        <v>10</v>
      </c>
      <c r="I23" s="77" t="s">
        <v>31</v>
      </c>
      <c r="J23" s="77" t="s">
        <v>32</v>
      </c>
      <c r="K23" s="77" t="s">
        <v>33</v>
      </c>
      <c r="L23" s="153" t="s">
        <v>136</v>
      </c>
    </row>
    <row r="24" spans="1:23" x14ac:dyDescent="0.2">
      <c r="A24" s="53" t="s">
        <v>257</v>
      </c>
      <c r="B24" s="78">
        <f>BID!I59</f>
        <v>7200</v>
      </c>
      <c r="C24" s="79">
        <f>BID!P32+BID!P43</f>
        <v>1032000</v>
      </c>
      <c r="D24" s="79">
        <f>BID!P47+BID!P46</f>
        <v>0</v>
      </c>
      <c r="E24" s="79">
        <f>BID!P45</f>
        <v>0</v>
      </c>
      <c r="F24" s="79"/>
      <c r="G24" s="112">
        <f>BID!P61</f>
        <v>1032000</v>
      </c>
      <c r="H24" s="79">
        <f>BID!K59</f>
        <v>2412000</v>
      </c>
      <c r="I24" s="79">
        <f>BID!M59</f>
        <v>988800</v>
      </c>
      <c r="J24" s="79">
        <f>G24-I24</f>
        <v>43200</v>
      </c>
      <c r="K24" s="151">
        <f>IF(G24&gt;0,J24/G24,0)</f>
        <v>4.1860465116279069E-2</v>
      </c>
      <c r="L24" s="195">
        <f>IF(B24&gt;0,G24/B24,0)</f>
        <v>143.33333333333334</v>
      </c>
    </row>
    <row r="25" spans="1:23" x14ac:dyDescent="0.2">
      <c r="A25" s="53"/>
      <c r="B25" s="78"/>
      <c r="C25" s="79"/>
      <c r="D25" s="79"/>
      <c r="E25" s="79"/>
      <c r="F25" s="79"/>
      <c r="G25" s="112"/>
      <c r="H25" s="79"/>
      <c r="I25" s="79"/>
      <c r="J25" s="79"/>
      <c r="K25" s="151"/>
      <c r="L25" s="195"/>
    </row>
    <row r="26" spans="1:23" ht="15" x14ac:dyDescent="0.35">
      <c r="A26" s="53"/>
      <c r="B26" s="82"/>
      <c r="C26" s="83"/>
      <c r="D26" s="83"/>
      <c r="E26" s="83"/>
      <c r="F26" s="79"/>
      <c r="G26" s="113"/>
      <c r="H26" s="83"/>
      <c r="I26" s="83"/>
      <c r="J26" s="83"/>
      <c r="K26" s="152"/>
      <c r="L26" s="197"/>
    </row>
    <row r="27" spans="1:23" ht="13.5" thickBot="1" x14ac:dyDescent="0.25">
      <c r="A27" s="54" t="s">
        <v>26</v>
      </c>
      <c r="B27" s="80">
        <f>SUM(B24:B26)</f>
        <v>7200</v>
      </c>
      <c r="C27" s="80">
        <f>SUM(C24:C26)</f>
        <v>1032000</v>
      </c>
      <c r="D27" s="80">
        <f>SUM(D24:D26)</f>
        <v>0</v>
      </c>
      <c r="E27" s="80">
        <f>SUM(E24:E26)</f>
        <v>0</v>
      </c>
      <c r="F27" s="80"/>
      <c r="G27" s="114">
        <f>SUM(G24:G26)</f>
        <v>1032000</v>
      </c>
      <c r="H27" s="80">
        <f>SUM(H24:H26)</f>
        <v>2412000</v>
      </c>
      <c r="I27" s="80">
        <f>SUM(I24:I26)</f>
        <v>988800</v>
      </c>
      <c r="J27" s="81">
        <f>G27-I27</f>
        <v>43200</v>
      </c>
      <c r="K27" s="154">
        <f>IF(G27&gt;0,J27/G27,0)</f>
        <v>4.1860465116279069E-2</v>
      </c>
      <c r="L27" s="196">
        <f>IF(B27&gt;0,G27/B27,0)</f>
        <v>143.33333333333334</v>
      </c>
    </row>
    <row r="29" spans="1:23" x14ac:dyDescent="0.2">
      <c r="A29" s="2" t="str">
        <f>IF(B9="estimate","Estimate LOW","")</f>
        <v/>
      </c>
      <c r="B29" s="128" t="str">
        <f>IF($B$9="estimate",BID!I63,"")</f>
        <v/>
      </c>
      <c r="G29" s="127" t="str">
        <f>IF(B9="estimate",SUM((BID!P63)),"")</f>
        <v/>
      </c>
      <c r="J29" s="193"/>
    </row>
    <row r="30" spans="1:23" x14ac:dyDescent="0.2">
      <c r="A30" s="2" t="str">
        <f>IF(B9="estimate","Estimate HIGH","")</f>
        <v/>
      </c>
      <c r="B30" s="128" t="str">
        <f>IF($B$9="estimate",BID!I64,"")</f>
        <v/>
      </c>
      <c r="G30" s="127" t="str">
        <f>IF(B9="estimate",SUM((BID!P64)),"")</f>
        <v/>
      </c>
    </row>
    <row r="33" spans="1:1" x14ac:dyDescent="0.2">
      <c r="A33" s="2" t="s">
        <v>89</v>
      </c>
    </row>
    <row r="34" spans="1:1" x14ac:dyDescent="0.2">
      <c r="A34" s="2" t="s">
        <v>170</v>
      </c>
    </row>
    <row r="35" spans="1:1" x14ac:dyDescent="0.2">
      <c r="A35" s="2" t="s">
        <v>158</v>
      </c>
    </row>
    <row r="36" spans="1:1" x14ac:dyDescent="0.2">
      <c r="A36" s="2" t="s">
        <v>159</v>
      </c>
    </row>
    <row r="37" spans="1:1" x14ac:dyDescent="0.2">
      <c r="A37" s="458" t="s">
        <v>265</v>
      </c>
    </row>
    <row r="41" spans="1:1" x14ac:dyDescent="0.2">
      <c r="A41" s="229" t="s">
        <v>248</v>
      </c>
    </row>
    <row r="42" spans="1:1" x14ac:dyDescent="0.2">
      <c r="A42" s="250" t="s">
        <v>191</v>
      </c>
    </row>
  </sheetData>
  <sheetProtection sheet="1" objects="1" scenarios="1"/>
  <phoneticPr fontId="7" type="noConversion"/>
  <dataValidations count="7">
    <dataValidation type="list" showInputMessage="1" showErrorMessage="1" sqref="B9" xr:uid="{00000000-0002-0000-0000-000000000000}">
      <formula1>"Quote, Estimate, SELECT ONE"</formula1>
    </dataValidation>
    <dataValidation type="list" showInputMessage="1" showErrorMessage="1" sqref="B5" xr:uid="{00000000-0002-0000-0000-000001000000}">
      <formula1>"T&amp;M, Fixed Price, SELECT ONE"</formula1>
    </dataValidation>
    <dataValidation type="list" showInputMessage="1" showErrorMessage="1" sqref="B10" xr:uid="{00000000-0002-0000-0000-000002000000}">
      <formula1>"Y,N,SELECT ONE"</formula1>
    </dataValidation>
    <dataValidation type="list" showInputMessage="1" showErrorMessage="1" sqref="B11" xr:uid="{00000000-0002-0000-0000-000003000000}">
      <formula1>"SELECT ONE, CUSTOMER, PEGA, PARTNER"</formula1>
    </dataValidation>
    <dataValidation showInputMessage="1" showErrorMessage="1" sqref="B14:B15" xr:uid="{00000000-0002-0000-0000-000004000000}"/>
    <dataValidation type="list" showInputMessage="1" showErrorMessage="1" sqref="B13" xr:uid="{00000000-0002-0000-0000-000005000000}">
      <formula1>"SELECT ONE,Agile, Scrum, Iterative Waterfall, Not Applicable"</formula1>
    </dataValidation>
    <dataValidation type="list" showInputMessage="1" showErrorMessage="1" sqref="B12" xr:uid="{00000000-0002-0000-0000-000006000000}">
      <formula1>"SELECT ONE,Full Implementation, Staff Augmentation, Service Product"</formula1>
    </dataValidation>
  </dataValidations>
  <pageMargins left="0.75" right="0.75" top="1" bottom="1" header="0.5" footer="0.5"/>
  <pageSetup scale="87" orientation="landscape" r:id="rId1"/>
  <headerFooter alignWithMargins="0">
    <oddHeader>&amp;CBlue Sheet Summary</oddHeader>
  </headerFooter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000-000008000000}">
          <x14:formula1>
            <xm:f>gsrates!$A$42:$A$62</xm:f>
          </x14:formula1>
          <xm:sqref>B6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5">
    <tabColor rgb="FFFFC000"/>
    <pageSetUpPr fitToPage="1"/>
  </sheetPr>
  <dimension ref="A1:ER65"/>
  <sheetViews>
    <sheetView workbookViewId="0">
      <pane xSplit="2" ySplit="14" topLeftCell="D15" activePane="bottomRight" state="frozen"/>
      <selection activeCell="A5" sqref="A5:B10"/>
      <selection pane="topRight" activeCell="A5" sqref="A5:B10"/>
      <selection pane="bottomLeft" activeCell="A5" sqref="A5:B10"/>
      <selection pane="bottomRight" activeCell="G31" sqref="G31"/>
    </sheetView>
  </sheetViews>
  <sheetFormatPr defaultColWidth="9.33203125" defaultRowHeight="12.75" outlineLevelRow="1" x14ac:dyDescent="0.2"/>
  <cols>
    <col min="1" max="1" width="30.33203125" style="264" customWidth="1"/>
    <col min="2" max="2" width="15.1640625" style="264" bestFit="1" customWidth="1"/>
    <col min="3" max="3" width="15.1640625" style="264" hidden="1" customWidth="1"/>
    <col min="4" max="4" width="15.1640625" style="264" customWidth="1"/>
    <col min="5" max="5" width="10.5" style="264" customWidth="1"/>
    <col min="6" max="6" width="10.83203125" style="264" customWidth="1"/>
    <col min="7" max="7" width="13" style="264" bestFit="1" customWidth="1"/>
    <col min="8" max="8" width="11" style="264" bestFit="1" customWidth="1"/>
    <col min="9" max="9" width="11" style="265" customWidth="1"/>
    <col min="10" max="10" width="12.83203125" style="264" customWidth="1"/>
    <col min="11" max="11" width="15" style="264" bestFit="1" customWidth="1"/>
    <col min="12" max="12" width="12.33203125" style="283" customWidth="1"/>
    <col min="13" max="13" width="11.5" style="283" customWidth="1"/>
    <col min="14" max="14" width="11.5" style="264" customWidth="1"/>
    <col min="15" max="15" width="10.83203125" style="269" customWidth="1"/>
    <col min="16" max="16" width="14.1640625" style="283" customWidth="1"/>
    <col min="17" max="17" width="11.5" style="264" customWidth="1"/>
    <col min="18" max="18" width="10" style="264" customWidth="1"/>
    <col min="19" max="19" width="11.1640625" style="264" customWidth="1"/>
    <col min="20" max="20" width="9.33203125" style="264"/>
    <col min="21" max="21" width="9.33203125" style="284" hidden="1" customWidth="1"/>
    <col min="22" max="22" width="9.33203125" style="284"/>
    <col min="23" max="23" width="27.6640625" style="284" bestFit="1" customWidth="1"/>
    <col min="24" max="24" width="12.1640625" style="284" customWidth="1"/>
    <col min="25" max="25" width="28.1640625" style="284" hidden="1" customWidth="1"/>
    <col min="26" max="148" width="9.33203125" style="284"/>
    <col min="149" max="16384" width="9.33203125" style="264"/>
  </cols>
  <sheetData>
    <row r="1" spans="1:148" x14ac:dyDescent="0.2">
      <c r="A1" s="264" t="s">
        <v>0</v>
      </c>
      <c r="B1" s="98" t="str">
        <f>INVESTMENT!B1</f>
        <v>Cox</v>
      </c>
    </row>
    <row r="2" spans="1:148" x14ac:dyDescent="0.2">
      <c r="A2" s="264" t="s">
        <v>203</v>
      </c>
      <c r="B2" s="98" t="str">
        <f>INVESTMENT!B2</f>
        <v>Com</v>
      </c>
    </row>
    <row r="3" spans="1:148" x14ac:dyDescent="0.2">
      <c r="A3" s="264" t="s">
        <v>157</v>
      </c>
      <c r="B3" s="98" t="str">
        <f>INVESTMENT!B3</f>
        <v>ECR WITHOUT MEETING</v>
      </c>
      <c r="W3" s="285"/>
      <c r="Y3" s="284" t="s">
        <v>93</v>
      </c>
    </row>
    <row r="4" spans="1:148" x14ac:dyDescent="0.2">
      <c r="A4" s="264" t="s">
        <v>2</v>
      </c>
      <c r="B4" s="264" t="s">
        <v>200</v>
      </c>
      <c r="W4" s="285"/>
      <c r="Y4" s="284" t="s">
        <v>94</v>
      </c>
    </row>
    <row r="5" spans="1:148" x14ac:dyDescent="0.2">
      <c r="A5" s="264" t="s">
        <v>3</v>
      </c>
      <c r="B5" s="98" t="s">
        <v>201</v>
      </c>
      <c r="C5" s="98"/>
      <c r="D5" s="98"/>
      <c r="W5" s="285"/>
      <c r="Y5" s="284" t="s">
        <v>162</v>
      </c>
    </row>
    <row r="6" spans="1:148" x14ac:dyDescent="0.2">
      <c r="A6" s="264" t="s">
        <v>144</v>
      </c>
      <c r="B6" s="98" t="str">
        <f>INVESTMENT!B6</f>
        <v>NA</v>
      </c>
      <c r="C6" s="98"/>
      <c r="D6" s="98"/>
      <c r="H6" s="286" t="str">
        <f>IF(AND(P59&gt;0,P61=0),"Enter Total Price in N43"," ")</f>
        <v xml:space="preserve"> </v>
      </c>
      <c r="W6" s="285"/>
      <c r="Y6" s="284" t="s">
        <v>95</v>
      </c>
    </row>
    <row r="7" spans="1:148" x14ac:dyDescent="0.2">
      <c r="A7" s="264" t="s">
        <v>4</v>
      </c>
      <c r="B7" s="266">
        <f>IF(INVESTMENT!B7="","",INVESTMENT!B7)</f>
        <v>43283</v>
      </c>
      <c r="C7" s="266"/>
      <c r="D7" s="266"/>
      <c r="E7" s="287" t="str">
        <f>IF(B7&gt;MIN(E15:E42),"Staffing Starts before this date!",IF(B7&lt;MIN(E15:E42),"No staffing on start date!",""))</f>
        <v>Staffing Starts before this date!</v>
      </c>
      <c r="F7" s="288"/>
      <c r="G7" s="288"/>
      <c r="H7" s="288"/>
      <c r="I7" s="289"/>
      <c r="J7" s="288"/>
      <c r="K7" s="288"/>
      <c r="L7" s="290"/>
      <c r="M7" s="290"/>
      <c r="N7" s="288"/>
      <c r="O7" s="291"/>
      <c r="P7" s="290"/>
      <c r="W7" s="285"/>
      <c r="Y7" s="284" t="s">
        <v>96</v>
      </c>
    </row>
    <row r="8" spans="1:148" x14ac:dyDescent="0.2">
      <c r="A8" s="264" t="s">
        <v>5</v>
      </c>
      <c r="B8" s="266">
        <f>INVESTMENT!B8</f>
        <v>0</v>
      </c>
      <c r="C8" s="266"/>
      <c r="D8" s="266"/>
      <c r="E8" s="287" t="str">
        <f>IF(B8&gt;MAX(F15:F42),"Staffing ends before project end date!",IF(B8&lt;MAX(F15:F42),"Staffing continues after end date!",""))</f>
        <v/>
      </c>
      <c r="F8" s="288"/>
      <c r="G8" s="288"/>
      <c r="H8" s="288"/>
      <c r="I8" s="289"/>
      <c r="J8" s="288"/>
      <c r="K8" s="288"/>
      <c r="L8" s="290"/>
      <c r="M8" s="290"/>
      <c r="N8" s="288"/>
      <c r="O8" s="291"/>
      <c r="P8" s="290"/>
      <c r="W8" s="285"/>
      <c r="Y8" s="284" t="s">
        <v>97</v>
      </c>
    </row>
    <row r="9" spans="1:148" x14ac:dyDescent="0.2">
      <c r="A9" s="264" t="s">
        <v>6</v>
      </c>
      <c r="B9" s="98" t="str">
        <f>INVESTMENT!B9</f>
        <v>Quote</v>
      </c>
      <c r="C9" s="98"/>
      <c r="D9" s="98"/>
      <c r="F9" s="264" t="s">
        <v>153</v>
      </c>
      <c r="G9" s="292">
        <f>INVESTMENT!G9</f>
        <v>0.05</v>
      </c>
      <c r="W9" s="285"/>
      <c r="Y9" s="284" t="s">
        <v>145</v>
      </c>
    </row>
    <row r="10" spans="1:148" x14ac:dyDescent="0.2">
      <c r="A10" s="264" t="s">
        <v>79</v>
      </c>
      <c r="B10" s="267">
        <f>INVESTMENT!B10</f>
        <v>8</v>
      </c>
      <c r="C10" s="267"/>
      <c r="D10" s="267"/>
      <c r="F10" s="264" t="s">
        <v>152</v>
      </c>
      <c r="G10" s="292">
        <f>INVESTMENT!G10</f>
        <v>0.2</v>
      </c>
      <c r="W10" s="285"/>
      <c r="Y10" s="284" t="s">
        <v>163</v>
      </c>
    </row>
    <row r="11" spans="1:148" x14ac:dyDescent="0.2">
      <c r="A11" s="264" t="s">
        <v>70</v>
      </c>
      <c r="B11" s="150" t="str">
        <f>INVESTMENT!B11</f>
        <v>USD</v>
      </c>
      <c r="Y11" s="284" t="s">
        <v>98</v>
      </c>
    </row>
    <row r="12" spans="1:148" x14ac:dyDescent="0.2">
      <c r="Y12" s="284" t="s">
        <v>99</v>
      </c>
    </row>
    <row r="13" spans="1:148" x14ac:dyDescent="0.2">
      <c r="A13" s="98"/>
      <c r="B13" s="98"/>
      <c r="C13" s="98"/>
      <c r="D13" s="98"/>
      <c r="E13" s="293"/>
      <c r="F13" s="293"/>
      <c r="G13" s="293"/>
      <c r="H13" s="150"/>
      <c r="I13" s="294"/>
      <c r="J13" s="150"/>
      <c r="K13" s="150"/>
      <c r="L13" s="295"/>
      <c r="M13" s="295"/>
      <c r="N13" s="150"/>
      <c r="O13" s="296" t="s">
        <v>80</v>
      </c>
      <c r="P13" s="295"/>
      <c r="Q13" s="150"/>
      <c r="R13" s="150"/>
      <c r="S13" s="150"/>
      <c r="Y13" s="284" t="s">
        <v>100</v>
      </c>
    </row>
    <row r="14" spans="1:148" s="98" customFormat="1" ht="13.5" thickBot="1" x14ac:dyDescent="0.25">
      <c r="A14" s="297" t="s">
        <v>52</v>
      </c>
      <c r="B14" s="297" t="s">
        <v>53</v>
      </c>
      <c r="C14" s="297" t="s">
        <v>91</v>
      </c>
      <c r="D14" s="448" t="s">
        <v>259</v>
      </c>
      <c r="E14" s="298" t="s">
        <v>54</v>
      </c>
      <c r="F14" s="298" t="s">
        <v>55</v>
      </c>
      <c r="G14" s="298" t="s">
        <v>7</v>
      </c>
      <c r="H14" s="298" t="s">
        <v>20</v>
      </c>
      <c r="I14" s="299" t="s">
        <v>78</v>
      </c>
      <c r="J14" s="300" t="s">
        <v>10</v>
      </c>
      <c r="K14" s="298" t="s">
        <v>56</v>
      </c>
      <c r="L14" s="268" t="s">
        <v>57</v>
      </c>
      <c r="M14" s="301" t="s">
        <v>31</v>
      </c>
      <c r="N14" s="298" t="s">
        <v>21</v>
      </c>
      <c r="O14" s="300" t="s">
        <v>22</v>
      </c>
      <c r="P14" s="301" t="s">
        <v>58</v>
      </c>
      <c r="Q14" s="298" t="s">
        <v>32</v>
      </c>
      <c r="R14" s="298" t="s">
        <v>23</v>
      </c>
      <c r="S14" s="298" t="s">
        <v>24</v>
      </c>
      <c r="U14" s="297"/>
      <c r="V14" s="297"/>
      <c r="W14" s="297"/>
      <c r="X14" s="297"/>
      <c r="Y14" s="284" t="s">
        <v>137</v>
      </c>
      <c r="Z14" s="297"/>
      <c r="AA14" s="297"/>
      <c r="AB14" s="297"/>
      <c r="AC14" s="297"/>
      <c r="AD14" s="297"/>
      <c r="AE14" s="297"/>
      <c r="AF14" s="297"/>
      <c r="AG14" s="297"/>
      <c r="AH14" s="297"/>
      <c r="AI14" s="297"/>
      <c r="AJ14" s="297"/>
      <c r="AK14" s="297"/>
      <c r="AL14" s="297"/>
      <c r="AM14" s="297"/>
      <c r="AN14" s="297"/>
      <c r="AO14" s="297"/>
      <c r="AP14" s="297"/>
      <c r="AQ14" s="297"/>
      <c r="AR14" s="297"/>
      <c r="AS14" s="297"/>
      <c r="AT14" s="297"/>
      <c r="AU14" s="297"/>
      <c r="AV14" s="297"/>
      <c r="AW14" s="297"/>
      <c r="AX14" s="297"/>
      <c r="AY14" s="297"/>
      <c r="AZ14" s="297"/>
      <c r="BA14" s="297"/>
      <c r="BB14" s="297"/>
      <c r="BC14" s="297"/>
      <c r="BD14" s="297"/>
      <c r="BE14" s="297"/>
      <c r="BF14" s="297"/>
      <c r="BG14" s="297"/>
      <c r="BH14" s="297"/>
      <c r="BI14" s="297"/>
      <c r="BJ14" s="297"/>
      <c r="BK14" s="297"/>
      <c r="BL14" s="297"/>
      <c r="BM14" s="297"/>
      <c r="BN14" s="297"/>
      <c r="BO14" s="297"/>
      <c r="BP14" s="297"/>
      <c r="BQ14" s="297"/>
      <c r="BR14" s="297"/>
      <c r="BS14" s="297"/>
      <c r="BT14" s="297"/>
      <c r="BU14" s="297"/>
      <c r="BV14" s="297"/>
      <c r="BW14" s="297"/>
      <c r="BX14" s="297"/>
      <c r="BY14" s="297"/>
      <c r="BZ14" s="297"/>
      <c r="CA14" s="297"/>
      <c r="CB14" s="297"/>
      <c r="CC14" s="297"/>
      <c r="CD14" s="297"/>
      <c r="CE14" s="297"/>
      <c r="CF14" s="297"/>
      <c r="CG14" s="297"/>
      <c r="CH14" s="297"/>
      <c r="CI14" s="297"/>
      <c r="CJ14" s="297"/>
      <c r="CK14" s="297"/>
      <c r="CL14" s="297"/>
      <c r="CM14" s="297"/>
      <c r="CN14" s="297"/>
      <c r="CO14" s="297"/>
      <c r="CP14" s="297"/>
      <c r="CQ14" s="297"/>
      <c r="CR14" s="297"/>
      <c r="CS14" s="297"/>
      <c r="CT14" s="297"/>
      <c r="CU14" s="297"/>
      <c r="CV14" s="297"/>
      <c r="CW14" s="297"/>
      <c r="CX14" s="297"/>
      <c r="CY14" s="297"/>
      <c r="CZ14" s="297"/>
      <c r="DA14" s="297"/>
      <c r="DB14" s="297"/>
      <c r="DC14" s="297"/>
      <c r="DD14" s="297"/>
      <c r="DE14" s="297"/>
      <c r="DF14" s="297"/>
      <c r="DG14" s="297"/>
      <c r="DH14" s="297"/>
      <c r="DI14" s="297"/>
      <c r="DJ14" s="297"/>
      <c r="DK14" s="297"/>
      <c r="DL14" s="297"/>
      <c r="DM14" s="297"/>
      <c r="DN14" s="297"/>
      <c r="DO14" s="297"/>
      <c r="DP14" s="297"/>
      <c r="DQ14" s="297"/>
      <c r="DR14" s="297"/>
      <c r="DS14" s="297"/>
      <c r="DT14" s="297"/>
      <c r="DU14" s="297"/>
      <c r="DV14" s="297"/>
      <c r="DW14" s="297"/>
      <c r="DX14" s="297"/>
      <c r="DY14" s="297"/>
      <c r="DZ14" s="297"/>
      <c r="EA14" s="297"/>
      <c r="EB14" s="297"/>
      <c r="EC14" s="297"/>
      <c r="ED14" s="297"/>
      <c r="EE14" s="297"/>
      <c r="EF14" s="297"/>
      <c r="EG14" s="297"/>
      <c r="EH14" s="297"/>
      <c r="EI14" s="297"/>
      <c r="EJ14" s="297"/>
      <c r="EK14" s="297"/>
      <c r="EL14" s="297"/>
      <c r="EM14" s="297"/>
      <c r="EN14" s="297"/>
      <c r="EO14" s="297"/>
      <c r="EP14" s="297"/>
      <c r="EQ14" s="297"/>
      <c r="ER14" s="297"/>
    </row>
    <row r="15" spans="1:148" outlineLevel="1" x14ac:dyDescent="0.2">
      <c r="A15" s="302" t="str">
        <f>IF(INVESTMENT!A15="","",INVESTMENT!A15)</f>
        <v>PL</v>
      </c>
      <c r="B15" s="303" t="str">
        <f>IF(INVESTMENT!B15="","",INVESTMENT!B15)</f>
        <v/>
      </c>
      <c r="C15" s="303"/>
      <c r="D15" s="303" t="str">
        <f>IF(INVESTMENT!D15="","",INVESTMENT!D15)</f>
        <v/>
      </c>
      <c r="E15" s="304" t="str">
        <f>IF(INVESTMENT!E15="","",INVESTMENT!E15)</f>
        <v/>
      </c>
      <c r="F15" s="304" t="str">
        <f>IF(INVESTMENT!F15="","",INVESTMENT!F15)</f>
        <v/>
      </c>
      <c r="G15" s="449">
        <f>IF(INVESTMENT!G15="","",INVESTMENT!G15)</f>
        <v>0.1</v>
      </c>
      <c r="H15" s="305">
        <f>INVESTMENT!H15</f>
        <v>0</v>
      </c>
      <c r="I15" s="306">
        <f>INVESTMENT!I15</f>
        <v>0</v>
      </c>
      <c r="J15" s="307">
        <f>INVESTMENT!J15</f>
        <v>355</v>
      </c>
      <c r="K15" s="308">
        <f>INVESTMENT!K15</f>
        <v>0</v>
      </c>
      <c r="L15" s="309">
        <f>INVESTMENT!L15</f>
        <v>180</v>
      </c>
      <c r="M15" s="309">
        <f>INVESTMENT!M15</f>
        <v>0</v>
      </c>
      <c r="N15" s="308">
        <f>INVESTMENT!N15</f>
        <v>0</v>
      </c>
      <c r="O15" s="307">
        <f>INVESTMENT!O15</f>
        <v>0</v>
      </c>
      <c r="P15" s="309">
        <f>INVESTMENT!P15</f>
        <v>0</v>
      </c>
      <c r="Q15" s="308">
        <f>INVESTMENT!Q15</f>
        <v>0</v>
      </c>
      <c r="R15" s="310" t="e">
        <f>INVESTMENT!R15</f>
        <v>#DIV/0!</v>
      </c>
      <c r="S15" s="311" t="e">
        <f>INVESTMENT!S15</f>
        <v>#DIV/0!</v>
      </c>
      <c r="T15" s="284"/>
      <c r="U15" s="284" t="str">
        <f t="shared" ref="U15:U31" si="0">IF(ISBLANK(A15),"",CONCATENATE(C15,"-",$B$6))</f>
        <v>-NA</v>
      </c>
      <c r="Y15" s="284" t="s">
        <v>155</v>
      </c>
    </row>
    <row r="16" spans="1:148" outlineLevel="1" x14ac:dyDescent="0.2">
      <c r="A16" s="284" t="str">
        <f>IF(INVESTMENT!A16="","",INVESTMENT!A16)</f>
        <v/>
      </c>
      <c r="B16" s="284" t="str">
        <f>IF(INVESTMENT!B16="","",INVESTMENT!B16)</f>
        <v/>
      </c>
      <c r="C16" s="284"/>
      <c r="D16" s="284" t="str">
        <f>IF(INVESTMENT!D16="","",INVESTMENT!D16)</f>
        <v/>
      </c>
      <c r="E16" s="313" t="str">
        <f>IF(INVESTMENT!E16="","",INVESTMENT!E16)</f>
        <v/>
      </c>
      <c r="F16" s="313" t="str">
        <f>IF(INVESTMENT!F16="","",INVESTMENT!F16)</f>
        <v/>
      </c>
      <c r="G16" s="450" t="str">
        <f>IF(INVESTMENT!G16="","",INVESTMENT!G16)</f>
        <v/>
      </c>
      <c r="H16" s="315" t="str">
        <f>INVESTMENT!H16</f>
        <v/>
      </c>
      <c r="I16" s="316" t="str">
        <f>INVESTMENT!I16</f>
        <v/>
      </c>
      <c r="J16" s="272" t="str">
        <f>INVESTMENT!J16</f>
        <v/>
      </c>
      <c r="K16" s="317" t="str">
        <f>INVESTMENT!K16</f>
        <v/>
      </c>
      <c r="L16" s="273" t="str">
        <f>INVESTMENT!L16</f>
        <v/>
      </c>
      <c r="M16" s="273" t="str">
        <f>INVESTMENT!M16</f>
        <v/>
      </c>
      <c r="N16" s="317" t="str">
        <f>INVESTMENT!N16</f>
        <v/>
      </c>
      <c r="O16" s="272">
        <f>INVESTMENT!O16</f>
        <v>0</v>
      </c>
      <c r="P16" s="273" t="str">
        <f>INVESTMENT!P16</f>
        <v/>
      </c>
      <c r="Q16" s="317" t="str">
        <f>INVESTMENT!Q16</f>
        <v/>
      </c>
      <c r="R16" s="318" t="str">
        <f>INVESTMENT!R16</f>
        <v/>
      </c>
      <c r="S16" s="314" t="str">
        <f>INVESTMENT!S16</f>
        <v/>
      </c>
      <c r="T16" s="284"/>
    </row>
    <row r="17" spans="1:148" outlineLevel="1" x14ac:dyDescent="0.2">
      <c r="A17" s="284" t="str">
        <f>IF(INVESTMENT!A17="","",INVESTMENT!A17)</f>
        <v/>
      </c>
      <c r="B17" s="284" t="str">
        <f>IF(INVESTMENT!B17="","",INVESTMENT!B17)</f>
        <v/>
      </c>
      <c r="C17" s="284"/>
      <c r="D17" s="284" t="str">
        <f>IF(INVESTMENT!D17="","",INVESTMENT!D17)</f>
        <v/>
      </c>
      <c r="E17" s="313" t="str">
        <f>IF(INVESTMENT!E17="","",INVESTMENT!E17)</f>
        <v/>
      </c>
      <c r="F17" s="313" t="str">
        <f>IF(INVESTMENT!F17="","",INVESTMENT!F17)</f>
        <v/>
      </c>
      <c r="G17" s="450" t="str">
        <f>IF(INVESTMENT!G17="","",INVESTMENT!G17)</f>
        <v/>
      </c>
      <c r="H17" s="315" t="str">
        <f>INVESTMENT!H17</f>
        <v/>
      </c>
      <c r="I17" s="316" t="str">
        <f>INVESTMENT!I17</f>
        <v/>
      </c>
      <c r="J17" s="272" t="str">
        <f>INVESTMENT!J17</f>
        <v/>
      </c>
      <c r="K17" s="317" t="str">
        <f>INVESTMENT!K17</f>
        <v/>
      </c>
      <c r="L17" s="273" t="str">
        <f>INVESTMENT!L17</f>
        <v/>
      </c>
      <c r="M17" s="273" t="str">
        <f>INVESTMENT!M17</f>
        <v/>
      </c>
      <c r="N17" s="317" t="str">
        <f>INVESTMENT!N17</f>
        <v/>
      </c>
      <c r="O17" s="272">
        <f>INVESTMENT!O17</f>
        <v>0</v>
      </c>
      <c r="P17" s="273" t="str">
        <f>INVESTMENT!P17</f>
        <v/>
      </c>
      <c r="Q17" s="317" t="str">
        <f>INVESTMENT!Q17</f>
        <v/>
      </c>
      <c r="R17" s="318" t="str">
        <f>INVESTMENT!R17</f>
        <v/>
      </c>
      <c r="S17" s="314" t="str">
        <f>INVESTMENT!S17</f>
        <v/>
      </c>
      <c r="T17" s="284"/>
    </row>
    <row r="18" spans="1:148" outlineLevel="1" x14ac:dyDescent="0.2">
      <c r="A18" s="284" t="str">
        <f>IF(INVESTMENT!A18="","",INVESTMENT!A18)</f>
        <v/>
      </c>
      <c r="B18" s="284" t="str">
        <f>IF(INVESTMENT!B18="","",INVESTMENT!B18)</f>
        <v/>
      </c>
      <c r="C18" s="284"/>
      <c r="D18" s="284" t="str">
        <f>IF(INVESTMENT!D18="","",INVESTMENT!D18)</f>
        <v/>
      </c>
      <c r="E18" s="313" t="str">
        <f>IF(INVESTMENT!E18="","",INVESTMENT!E18)</f>
        <v/>
      </c>
      <c r="F18" s="313" t="str">
        <f>IF(INVESTMENT!F18="","",INVESTMENT!F18)</f>
        <v/>
      </c>
      <c r="G18" s="450" t="str">
        <f>IF(INVESTMENT!G18="","",INVESTMENT!G18)</f>
        <v/>
      </c>
      <c r="H18" s="315" t="str">
        <f>INVESTMENT!H18</f>
        <v/>
      </c>
      <c r="I18" s="316" t="str">
        <f>INVESTMENT!I18</f>
        <v/>
      </c>
      <c r="J18" s="272" t="str">
        <f>INVESTMENT!J18</f>
        <v/>
      </c>
      <c r="K18" s="317" t="str">
        <f>INVESTMENT!K18</f>
        <v/>
      </c>
      <c r="L18" s="273" t="str">
        <f>INVESTMENT!L18</f>
        <v/>
      </c>
      <c r="M18" s="273" t="str">
        <f>INVESTMENT!M18</f>
        <v/>
      </c>
      <c r="N18" s="317" t="str">
        <f>INVESTMENT!N18</f>
        <v/>
      </c>
      <c r="O18" s="272">
        <f>INVESTMENT!O18</f>
        <v>0</v>
      </c>
      <c r="P18" s="273" t="str">
        <f>INVESTMENT!P18</f>
        <v/>
      </c>
      <c r="Q18" s="317" t="str">
        <f>INVESTMENT!Q18</f>
        <v/>
      </c>
      <c r="R18" s="318" t="str">
        <f>INVESTMENT!R18</f>
        <v/>
      </c>
      <c r="S18" s="314" t="str">
        <f>INVESTMENT!S18</f>
        <v/>
      </c>
      <c r="T18" s="284"/>
    </row>
    <row r="19" spans="1:148" outlineLevel="1" x14ac:dyDescent="0.2">
      <c r="A19" s="284" t="str">
        <f>IF(INVESTMENT!A19="","",INVESTMENT!A19)</f>
        <v/>
      </c>
      <c r="B19" s="284" t="str">
        <f>IF(INVESTMENT!B19="","",INVESTMENT!B19)</f>
        <v/>
      </c>
      <c r="C19" s="284"/>
      <c r="D19" s="284" t="str">
        <f>IF(INVESTMENT!D19="","",INVESTMENT!D19)</f>
        <v/>
      </c>
      <c r="E19" s="313" t="str">
        <f>IF(INVESTMENT!E19="","",INVESTMENT!E19)</f>
        <v/>
      </c>
      <c r="F19" s="313" t="str">
        <f>IF(INVESTMENT!F19="","",INVESTMENT!F19)</f>
        <v/>
      </c>
      <c r="G19" s="450" t="str">
        <f>IF(INVESTMENT!G19="","",INVESTMENT!G19)</f>
        <v/>
      </c>
      <c r="H19" s="315" t="str">
        <f>INVESTMENT!H19</f>
        <v/>
      </c>
      <c r="I19" s="316" t="str">
        <f>INVESTMENT!I19</f>
        <v/>
      </c>
      <c r="J19" s="272" t="str">
        <f>INVESTMENT!J19</f>
        <v/>
      </c>
      <c r="K19" s="317" t="str">
        <f>INVESTMENT!K19</f>
        <v/>
      </c>
      <c r="L19" s="273" t="str">
        <f>INVESTMENT!L19</f>
        <v/>
      </c>
      <c r="M19" s="273" t="str">
        <f>INVESTMENT!M19</f>
        <v/>
      </c>
      <c r="N19" s="317" t="str">
        <f>INVESTMENT!N19</f>
        <v/>
      </c>
      <c r="O19" s="272">
        <f>INVESTMENT!O19</f>
        <v>0</v>
      </c>
      <c r="P19" s="273" t="str">
        <f>INVESTMENT!P19</f>
        <v/>
      </c>
      <c r="Q19" s="317" t="str">
        <f>INVESTMENT!Q19</f>
        <v/>
      </c>
      <c r="R19" s="318" t="str">
        <f>INVESTMENT!R19</f>
        <v/>
      </c>
      <c r="S19" s="314" t="str">
        <f>INVESTMENT!S19</f>
        <v/>
      </c>
      <c r="T19" s="284"/>
    </row>
    <row r="20" spans="1:148" outlineLevel="1" x14ac:dyDescent="0.2">
      <c r="A20" s="284" t="str">
        <f>IF(INVESTMENT!A20="","",INVESTMENT!A20)</f>
        <v/>
      </c>
      <c r="B20" s="284" t="str">
        <f>IF(INVESTMENT!B20="","",INVESTMENT!B20)</f>
        <v/>
      </c>
      <c r="C20" s="284"/>
      <c r="D20" s="284" t="str">
        <f>IF(INVESTMENT!D20="","",INVESTMENT!D20)</f>
        <v/>
      </c>
      <c r="E20" s="313" t="str">
        <f>IF(INVESTMENT!E20="","",INVESTMENT!E20)</f>
        <v/>
      </c>
      <c r="F20" s="313" t="str">
        <f>IF(INVESTMENT!F20="","",INVESTMENT!F20)</f>
        <v/>
      </c>
      <c r="G20" s="450" t="str">
        <f>IF(INVESTMENT!G20="","",INVESTMENT!G20)</f>
        <v/>
      </c>
      <c r="H20" s="315" t="str">
        <f>INVESTMENT!H20</f>
        <v/>
      </c>
      <c r="I20" s="316" t="str">
        <f>INVESTMENT!I20</f>
        <v/>
      </c>
      <c r="J20" s="272" t="str">
        <f>INVESTMENT!J20</f>
        <v/>
      </c>
      <c r="K20" s="317" t="str">
        <f>INVESTMENT!K20</f>
        <v/>
      </c>
      <c r="L20" s="273" t="str">
        <f>INVESTMENT!L20</f>
        <v/>
      </c>
      <c r="M20" s="273" t="str">
        <f>INVESTMENT!M20</f>
        <v/>
      </c>
      <c r="N20" s="317" t="str">
        <f>INVESTMENT!N20</f>
        <v/>
      </c>
      <c r="O20" s="272">
        <f>INVESTMENT!O20</f>
        <v>0</v>
      </c>
      <c r="P20" s="273" t="str">
        <f>INVESTMENT!P20</f>
        <v/>
      </c>
      <c r="Q20" s="317" t="str">
        <f>INVESTMENT!Q20</f>
        <v/>
      </c>
      <c r="R20" s="318" t="str">
        <f>INVESTMENT!R20</f>
        <v/>
      </c>
      <c r="S20" s="314" t="str">
        <f>INVESTMENT!S20</f>
        <v/>
      </c>
      <c r="T20" s="284"/>
    </row>
    <row r="21" spans="1:148" outlineLevel="1" x14ac:dyDescent="0.2">
      <c r="A21" s="284" t="str">
        <f>IF(INVESTMENT!A21="","",INVESTMENT!A21)</f>
        <v/>
      </c>
      <c r="B21" s="284" t="str">
        <f>IF(INVESTMENT!B21="","",INVESTMENT!B21)</f>
        <v/>
      </c>
      <c r="C21" s="284"/>
      <c r="D21" s="284" t="str">
        <f>IF(INVESTMENT!D21="","",INVESTMENT!D21)</f>
        <v/>
      </c>
      <c r="E21" s="313" t="str">
        <f>IF(INVESTMENT!E21="","",INVESTMENT!E21)</f>
        <v/>
      </c>
      <c r="F21" s="313" t="str">
        <f>IF(INVESTMENT!F21="","",INVESTMENT!F21)</f>
        <v/>
      </c>
      <c r="G21" s="450" t="str">
        <f>IF(INVESTMENT!G21="","",INVESTMENT!G21)</f>
        <v/>
      </c>
      <c r="H21" s="315" t="str">
        <f>INVESTMENT!H21</f>
        <v/>
      </c>
      <c r="I21" s="316" t="str">
        <f>INVESTMENT!I21</f>
        <v/>
      </c>
      <c r="J21" s="272" t="str">
        <f>INVESTMENT!J21</f>
        <v/>
      </c>
      <c r="K21" s="317" t="str">
        <f>INVESTMENT!K21</f>
        <v/>
      </c>
      <c r="L21" s="273" t="str">
        <f>INVESTMENT!L21</f>
        <v/>
      </c>
      <c r="M21" s="273" t="str">
        <f>INVESTMENT!M21</f>
        <v/>
      </c>
      <c r="N21" s="317" t="str">
        <f>INVESTMENT!N21</f>
        <v/>
      </c>
      <c r="O21" s="272">
        <f>INVESTMENT!O21</f>
        <v>0</v>
      </c>
      <c r="P21" s="273" t="str">
        <f>INVESTMENT!P21</f>
        <v/>
      </c>
      <c r="Q21" s="317" t="str">
        <f>INVESTMENT!Q21</f>
        <v/>
      </c>
      <c r="R21" s="318" t="str">
        <f>INVESTMENT!R21</f>
        <v/>
      </c>
      <c r="S21" s="314" t="str">
        <f>INVESTMENT!S21</f>
        <v/>
      </c>
      <c r="T21" s="284"/>
    </row>
    <row r="22" spans="1:148" outlineLevel="1" x14ac:dyDescent="0.2">
      <c r="A22" s="284" t="str">
        <f>IF(INVESTMENT!A22="","",INVESTMENT!A22)</f>
        <v/>
      </c>
      <c r="B22" s="284" t="str">
        <f>IF(INVESTMENT!B22="","",INVESTMENT!B22)</f>
        <v/>
      </c>
      <c r="C22" s="284"/>
      <c r="D22" s="284" t="str">
        <f>IF(INVESTMENT!D22="","",INVESTMENT!D22)</f>
        <v/>
      </c>
      <c r="E22" s="313" t="str">
        <f>IF(INVESTMENT!E22="","",INVESTMENT!E22)</f>
        <v/>
      </c>
      <c r="F22" s="313" t="str">
        <f>IF(INVESTMENT!F22="","",INVESTMENT!F22)</f>
        <v/>
      </c>
      <c r="G22" s="450" t="str">
        <f>IF(INVESTMENT!G22="","",INVESTMENT!G22)</f>
        <v/>
      </c>
      <c r="H22" s="315" t="str">
        <f>INVESTMENT!H22</f>
        <v/>
      </c>
      <c r="I22" s="316" t="str">
        <f>INVESTMENT!I22</f>
        <v/>
      </c>
      <c r="J22" s="272" t="str">
        <f>INVESTMENT!J22</f>
        <v/>
      </c>
      <c r="K22" s="317" t="str">
        <f>INVESTMENT!K22</f>
        <v/>
      </c>
      <c r="L22" s="273" t="str">
        <f>INVESTMENT!L22</f>
        <v/>
      </c>
      <c r="M22" s="273" t="str">
        <f>INVESTMENT!M22</f>
        <v/>
      </c>
      <c r="N22" s="317" t="str">
        <f>INVESTMENT!N22</f>
        <v/>
      </c>
      <c r="O22" s="272">
        <f>INVESTMENT!O22</f>
        <v>0</v>
      </c>
      <c r="P22" s="273" t="str">
        <f>INVESTMENT!P22</f>
        <v/>
      </c>
      <c r="Q22" s="317" t="str">
        <f>INVESTMENT!Q22</f>
        <v/>
      </c>
      <c r="R22" s="318" t="str">
        <f>INVESTMENT!R22</f>
        <v/>
      </c>
      <c r="S22" s="314" t="str">
        <f>INVESTMENT!S22</f>
        <v/>
      </c>
      <c r="T22" s="284"/>
    </row>
    <row r="23" spans="1:148" outlineLevel="1" x14ac:dyDescent="0.2">
      <c r="A23" s="284" t="str">
        <f>IF(INVESTMENT!A23="","",INVESTMENT!A23)</f>
        <v/>
      </c>
      <c r="B23" s="284" t="str">
        <f>IF(INVESTMENT!B23="","",INVESTMENT!B23)</f>
        <v/>
      </c>
      <c r="C23" s="284"/>
      <c r="D23" s="284" t="str">
        <f>IF(INVESTMENT!D23="","",INVESTMENT!D23)</f>
        <v/>
      </c>
      <c r="E23" s="313" t="str">
        <f>IF(INVESTMENT!E23="","",INVESTMENT!E23)</f>
        <v/>
      </c>
      <c r="F23" s="313" t="str">
        <f>IF(INVESTMENT!F23="","",INVESTMENT!F23)</f>
        <v/>
      </c>
      <c r="G23" s="450" t="str">
        <f>IF(INVESTMENT!G23="","",INVESTMENT!G23)</f>
        <v/>
      </c>
      <c r="H23" s="315" t="str">
        <f>INVESTMENT!H23</f>
        <v/>
      </c>
      <c r="I23" s="316" t="str">
        <f>INVESTMENT!I23</f>
        <v/>
      </c>
      <c r="J23" s="272" t="str">
        <f>INVESTMENT!J23</f>
        <v/>
      </c>
      <c r="K23" s="317" t="str">
        <f>INVESTMENT!K23</f>
        <v/>
      </c>
      <c r="L23" s="273" t="str">
        <f>INVESTMENT!L23</f>
        <v/>
      </c>
      <c r="M23" s="273" t="str">
        <f>INVESTMENT!M23</f>
        <v/>
      </c>
      <c r="N23" s="317" t="str">
        <f>INVESTMENT!N23</f>
        <v/>
      </c>
      <c r="O23" s="272">
        <f>INVESTMENT!O23</f>
        <v>0</v>
      </c>
      <c r="P23" s="273" t="str">
        <f>INVESTMENT!P23</f>
        <v/>
      </c>
      <c r="Q23" s="317" t="str">
        <f>INVESTMENT!Q23</f>
        <v/>
      </c>
      <c r="R23" s="318" t="str">
        <f>INVESTMENT!R23</f>
        <v/>
      </c>
      <c r="S23" s="314" t="str">
        <f>INVESTMENT!S23</f>
        <v/>
      </c>
      <c r="T23" s="284"/>
      <c r="U23" s="284" t="str">
        <f t="shared" si="0"/>
        <v>-NA</v>
      </c>
    </row>
    <row r="24" spans="1:148" outlineLevel="1" x14ac:dyDescent="0.2">
      <c r="A24" s="284" t="str">
        <f>IF(INVESTMENT!A24="","",INVESTMENT!A24)</f>
        <v/>
      </c>
      <c r="B24" s="284" t="str">
        <f>IF(INVESTMENT!B24="","",INVESTMENT!B24)</f>
        <v/>
      </c>
      <c r="C24" s="284"/>
      <c r="D24" s="284" t="str">
        <f>IF(INVESTMENT!D24="","",INVESTMENT!D24)</f>
        <v/>
      </c>
      <c r="E24" s="313" t="str">
        <f>IF(INVESTMENT!E24="","",INVESTMENT!E24)</f>
        <v/>
      </c>
      <c r="F24" s="313" t="str">
        <f>IF(INVESTMENT!F24="","",INVESTMENT!F24)</f>
        <v/>
      </c>
      <c r="G24" s="450" t="str">
        <f>IF(INVESTMENT!G24="","",INVESTMENT!G24)</f>
        <v/>
      </c>
      <c r="H24" s="315" t="str">
        <f>INVESTMENT!H24</f>
        <v/>
      </c>
      <c r="I24" s="316" t="str">
        <f>INVESTMENT!I24</f>
        <v/>
      </c>
      <c r="J24" s="272" t="str">
        <f>INVESTMENT!J24</f>
        <v/>
      </c>
      <c r="K24" s="317" t="str">
        <f>INVESTMENT!K24</f>
        <v/>
      </c>
      <c r="L24" s="273" t="str">
        <f>INVESTMENT!L24</f>
        <v/>
      </c>
      <c r="M24" s="273" t="str">
        <f>INVESTMENT!M24</f>
        <v/>
      </c>
      <c r="N24" s="317" t="str">
        <f>INVESTMENT!N24</f>
        <v/>
      </c>
      <c r="O24" s="272">
        <f>INVESTMENT!O24</f>
        <v>0</v>
      </c>
      <c r="P24" s="273" t="str">
        <f>INVESTMENT!P24</f>
        <v/>
      </c>
      <c r="Q24" s="317" t="str">
        <f>INVESTMENT!Q24</f>
        <v/>
      </c>
      <c r="R24" s="318" t="str">
        <f>INVESTMENT!R24</f>
        <v/>
      </c>
      <c r="S24" s="314" t="str">
        <f>INVESTMENT!S24</f>
        <v/>
      </c>
      <c r="T24" s="284"/>
      <c r="U24" s="284" t="str">
        <f t="shared" si="0"/>
        <v>-NA</v>
      </c>
    </row>
    <row r="25" spans="1:148" outlineLevel="1" x14ac:dyDescent="0.2">
      <c r="A25" s="284" t="str">
        <f>IF(INVESTMENT!A25="","",INVESTMENT!A25)</f>
        <v/>
      </c>
      <c r="B25" s="284" t="str">
        <f>IF(INVESTMENT!B25="","",INVESTMENT!B25)</f>
        <v/>
      </c>
      <c r="C25" s="284"/>
      <c r="D25" s="284" t="str">
        <f>IF(INVESTMENT!D25="","",INVESTMENT!D25)</f>
        <v/>
      </c>
      <c r="E25" s="313" t="str">
        <f>IF(INVESTMENT!E25="","",INVESTMENT!E25)</f>
        <v/>
      </c>
      <c r="F25" s="313" t="str">
        <f>IF(INVESTMENT!F25="","",INVESTMENT!F25)</f>
        <v/>
      </c>
      <c r="G25" s="450" t="str">
        <f>IF(INVESTMENT!G25="","",INVESTMENT!G25)</f>
        <v/>
      </c>
      <c r="H25" s="315" t="str">
        <f>INVESTMENT!H25</f>
        <v/>
      </c>
      <c r="I25" s="316" t="str">
        <f>INVESTMENT!I25</f>
        <v/>
      </c>
      <c r="J25" s="272" t="str">
        <f>INVESTMENT!J25</f>
        <v/>
      </c>
      <c r="K25" s="317" t="str">
        <f>INVESTMENT!K25</f>
        <v/>
      </c>
      <c r="L25" s="273" t="str">
        <f>INVESTMENT!L25</f>
        <v/>
      </c>
      <c r="M25" s="273" t="str">
        <f>INVESTMENT!M25</f>
        <v/>
      </c>
      <c r="N25" s="317" t="str">
        <f>INVESTMENT!N25</f>
        <v/>
      </c>
      <c r="O25" s="272">
        <f>INVESTMENT!O25</f>
        <v>0</v>
      </c>
      <c r="P25" s="273" t="str">
        <f>INVESTMENT!P25</f>
        <v/>
      </c>
      <c r="Q25" s="317" t="str">
        <f>INVESTMENT!Q25</f>
        <v/>
      </c>
      <c r="R25" s="318" t="str">
        <f>INVESTMENT!R25</f>
        <v/>
      </c>
      <c r="S25" s="314" t="str">
        <f>INVESTMENT!S25</f>
        <v/>
      </c>
      <c r="T25" s="284"/>
      <c r="U25" s="284" t="str">
        <f t="shared" si="0"/>
        <v>-NA</v>
      </c>
    </row>
    <row r="26" spans="1:148" outlineLevel="1" x14ac:dyDescent="0.2">
      <c r="A26" s="284" t="str">
        <f>IF(INVESTMENT!A26="","",INVESTMENT!A26)</f>
        <v/>
      </c>
      <c r="B26" s="284" t="str">
        <f>IF(INVESTMENT!B26="","",INVESTMENT!B26)</f>
        <v/>
      </c>
      <c r="C26" s="284"/>
      <c r="D26" s="284" t="str">
        <f>IF(INVESTMENT!D26="","",INVESTMENT!D26)</f>
        <v/>
      </c>
      <c r="E26" s="313" t="str">
        <f>IF(INVESTMENT!E26="","",INVESTMENT!E26)</f>
        <v/>
      </c>
      <c r="F26" s="313" t="str">
        <f>IF(INVESTMENT!F26="","",INVESTMENT!F26)</f>
        <v/>
      </c>
      <c r="G26" s="450" t="str">
        <f>IF(INVESTMENT!G26="","",INVESTMENT!G26)</f>
        <v/>
      </c>
      <c r="H26" s="315" t="str">
        <f>INVESTMENT!H26</f>
        <v/>
      </c>
      <c r="I26" s="316" t="str">
        <f>INVESTMENT!I26</f>
        <v/>
      </c>
      <c r="J26" s="272" t="str">
        <f>INVESTMENT!J26</f>
        <v/>
      </c>
      <c r="K26" s="317" t="str">
        <f>INVESTMENT!K26</f>
        <v/>
      </c>
      <c r="L26" s="273" t="str">
        <f>INVESTMENT!L26</f>
        <v/>
      </c>
      <c r="M26" s="273" t="str">
        <f>INVESTMENT!M26</f>
        <v/>
      </c>
      <c r="N26" s="317" t="str">
        <f>INVESTMENT!N26</f>
        <v/>
      </c>
      <c r="O26" s="272">
        <f>INVESTMENT!O26</f>
        <v>0</v>
      </c>
      <c r="P26" s="273" t="str">
        <f>INVESTMENT!P26</f>
        <v/>
      </c>
      <c r="Q26" s="317" t="str">
        <f>INVESTMENT!Q26</f>
        <v/>
      </c>
      <c r="R26" s="318" t="str">
        <f>INVESTMENT!R26</f>
        <v/>
      </c>
      <c r="S26" s="314" t="str">
        <f>INVESTMENT!S26</f>
        <v/>
      </c>
      <c r="T26" s="284"/>
      <c r="U26" s="284" t="str">
        <f t="shared" si="0"/>
        <v>-NA</v>
      </c>
    </row>
    <row r="27" spans="1:148" outlineLevel="1" x14ac:dyDescent="0.2">
      <c r="A27" s="284" t="str">
        <f>IF(INVESTMENT!A27="","",INVESTMENT!A27)</f>
        <v/>
      </c>
      <c r="B27" s="284" t="str">
        <f>IF(INVESTMENT!B27="","",INVESTMENT!B27)</f>
        <v/>
      </c>
      <c r="C27" s="284"/>
      <c r="D27" s="284" t="str">
        <f>IF(INVESTMENT!D27="","",INVESTMENT!D27)</f>
        <v/>
      </c>
      <c r="E27" s="313" t="str">
        <f>IF(INVESTMENT!E27="","",INVESTMENT!E27)</f>
        <v/>
      </c>
      <c r="F27" s="313" t="str">
        <f>IF(INVESTMENT!F27="","",INVESTMENT!F27)</f>
        <v/>
      </c>
      <c r="G27" s="450" t="str">
        <f>IF(INVESTMENT!G27="","",INVESTMENT!G27)</f>
        <v/>
      </c>
      <c r="H27" s="315" t="str">
        <f>INVESTMENT!H27</f>
        <v/>
      </c>
      <c r="I27" s="316" t="str">
        <f>INVESTMENT!I27</f>
        <v/>
      </c>
      <c r="J27" s="272" t="str">
        <f>INVESTMENT!J27</f>
        <v/>
      </c>
      <c r="K27" s="317" t="str">
        <f>INVESTMENT!K27</f>
        <v/>
      </c>
      <c r="L27" s="273" t="str">
        <f>INVESTMENT!L27</f>
        <v/>
      </c>
      <c r="M27" s="273" t="str">
        <f>INVESTMENT!M27</f>
        <v/>
      </c>
      <c r="N27" s="317" t="str">
        <f>INVESTMENT!N27</f>
        <v/>
      </c>
      <c r="O27" s="272">
        <f>INVESTMENT!O27</f>
        <v>0</v>
      </c>
      <c r="P27" s="273" t="str">
        <f>INVESTMENT!P27</f>
        <v/>
      </c>
      <c r="Q27" s="317" t="str">
        <f>INVESTMENT!Q27</f>
        <v/>
      </c>
      <c r="R27" s="318" t="str">
        <f>INVESTMENT!R27</f>
        <v/>
      </c>
      <c r="S27" s="314" t="str">
        <f>INVESTMENT!S27</f>
        <v/>
      </c>
      <c r="T27" s="284"/>
      <c r="U27" s="284" t="str">
        <f t="shared" si="0"/>
        <v>-NA</v>
      </c>
    </row>
    <row r="28" spans="1:148" outlineLevel="1" x14ac:dyDescent="0.2">
      <c r="A28" s="284" t="str">
        <f>IF(INVESTMENT!A28="","",INVESTMENT!A28)</f>
        <v/>
      </c>
      <c r="B28" s="284" t="str">
        <f>IF(INVESTMENT!B28="","",INVESTMENT!B28)</f>
        <v/>
      </c>
      <c r="C28" s="284"/>
      <c r="D28" s="284" t="str">
        <f>IF(INVESTMENT!D28="","",INVESTMENT!D28)</f>
        <v/>
      </c>
      <c r="E28" s="313" t="str">
        <f>IF(INVESTMENT!E28="","",INVESTMENT!E28)</f>
        <v/>
      </c>
      <c r="F28" s="313" t="str">
        <f>IF(INVESTMENT!F28="","",INVESTMENT!F28)</f>
        <v/>
      </c>
      <c r="G28" s="450" t="str">
        <f>IF(INVESTMENT!G28="","",INVESTMENT!G28)</f>
        <v/>
      </c>
      <c r="H28" s="315" t="str">
        <f>INVESTMENT!H28</f>
        <v/>
      </c>
      <c r="I28" s="316" t="str">
        <f>INVESTMENT!I28</f>
        <v/>
      </c>
      <c r="J28" s="272" t="str">
        <f>INVESTMENT!J28</f>
        <v/>
      </c>
      <c r="K28" s="317" t="str">
        <f>INVESTMENT!K28</f>
        <v/>
      </c>
      <c r="L28" s="273" t="str">
        <f>INVESTMENT!L28</f>
        <v/>
      </c>
      <c r="M28" s="273" t="str">
        <f>INVESTMENT!M28</f>
        <v/>
      </c>
      <c r="N28" s="317" t="str">
        <f>INVESTMENT!N28</f>
        <v/>
      </c>
      <c r="O28" s="272">
        <f>INVESTMENT!O28</f>
        <v>0</v>
      </c>
      <c r="P28" s="273" t="str">
        <f>INVESTMENT!P28</f>
        <v/>
      </c>
      <c r="Q28" s="317" t="str">
        <f>INVESTMENT!Q28</f>
        <v/>
      </c>
      <c r="R28" s="318" t="str">
        <f>INVESTMENT!R28</f>
        <v/>
      </c>
      <c r="S28" s="314" t="str">
        <f>INVESTMENT!S28</f>
        <v/>
      </c>
      <c r="T28" s="284"/>
      <c r="U28" s="284" t="str">
        <f t="shared" si="0"/>
        <v>-NA</v>
      </c>
    </row>
    <row r="29" spans="1:148" outlineLevel="1" x14ac:dyDescent="0.2">
      <c r="A29" s="284" t="str">
        <f>IF(INVESTMENT!A29="","",INVESTMENT!A29)</f>
        <v/>
      </c>
      <c r="B29" s="284" t="str">
        <f>IF(INVESTMENT!B29="","",INVESTMENT!B29)</f>
        <v/>
      </c>
      <c r="C29" s="284"/>
      <c r="D29" s="284" t="str">
        <f>IF(INVESTMENT!D29="","",INVESTMENT!D29)</f>
        <v/>
      </c>
      <c r="E29" s="313" t="str">
        <f>IF(INVESTMENT!E29="","",INVESTMENT!E29)</f>
        <v/>
      </c>
      <c r="F29" s="313" t="str">
        <f>IF(INVESTMENT!F29="","",INVESTMENT!F29)</f>
        <v/>
      </c>
      <c r="G29" s="450" t="str">
        <f>IF(INVESTMENT!G29="","",INVESTMENT!G29)</f>
        <v/>
      </c>
      <c r="H29" s="315" t="str">
        <f>INVESTMENT!H29</f>
        <v/>
      </c>
      <c r="I29" s="316" t="str">
        <f>INVESTMENT!I29</f>
        <v/>
      </c>
      <c r="J29" s="272" t="str">
        <f>INVESTMENT!J29</f>
        <v/>
      </c>
      <c r="K29" s="317" t="str">
        <f>INVESTMENT!K29</f>
        <v/>
      </c>
      <c r="L29" s="273" t="str">
        <f>INVESTMENT!L29</f>
        <v/>
      </c>
      <c r="M29" s="273" t="str">
        <f>INVESTMENT!M29</f>
        <v/>
      </c>
      <c r="N29" s="317" t="str">
        <f>INVESTMENT!N29</f>
        <v/>
      </c>
      <c r="O29" s="272">
        <f>INVESTMENT!O29</f>
        <v>0</v>
      </c>
      <c r="P29" s="273" t="str">
        <f>INVESTMENT!P29</f>
        <v/>
      </c>
      <c r="Q29" s="317" t="str">
        <f>INVESTMENT!Q29</f>
        <v/>
      </c>
      <c r="R29" s="318" t="str">
        <f>INVESTMENT!R29</f>
        <v/>
      </c>
      <c r="S29" s="314" t="str">
        <f>INVESTMENT!S29</f>
        <v/>
      </c>
      <c r="T29" s="284"/>
      <c r="U29" s="284" t="str">
        <f t="shared" si="0"/>
        <v>-NA</v>
      </c>
    </row>
    <row r="30" spans="1:148" outlineLevel="1" x14ac:dyDescent="0.2">
      <c r="A30" s="284" t="str">
        <f>IF(INVESTMENT!A30="","",INVESTMENT!A30)</f>
        <v/>
      </c>
      <c r="B30" s="284" t="str">
        <f>IF(INVESTMENT!B30="","",INVESTMENT!B30)</f>
        <v/>
      </c>
      <c r="C30" s="284"/>
      <c r="D30" s="284" t="str">
        <f>IF(INVESTMENT!D30="","",INVESTMENT!D30)</f>
        <v/>
      </c>
      <c r="E30" s="313" t="str">
        <f>IF(INVESTMENT!E30="","",INVESTMENT!E30)</f>
        <v/>
      </c>
      <c r="F30" s="313" t="str">
        <f>IF(INVESTMENT!F30="","",INVESTMENT!F30)</f>
        <v/>
      </c>
      <c r="G30" s="450" t="str">
        <f>IF(INVESTMENT!G30="","",INVESTMENT!G30)</f>
        <v/>
      </c>
      <c r="H30" s="315" t="str">
        <f>INVESTMENT!H30</f>
        <v/>
      </c>
      <c r="I30" s="316" t="str">
        <f>INVESTMENT!I30</f>
        <v/>
      </c>
      <c r="J30" s="272" t="str">
        <f>INVESTMENT!J30</f>
        <v/>
      </c>
      <c r="K30" s="317" t="str">
        <f>INVESTMENT!K30</f>
        <v/>
      </c>
      <c r="L30" s="273" t="str">
        <f>INVESTMENT!L30</f>
        <v/>
      </c>
      <c r="M30" s="273" t="str">
        <f>INVESTMENT!M30</f>
        <v/>
      </c>
      <c r="N30" s="317" t="str">
        <f>INVESTMENT!N30</f>
        <v/>
      </c>
      <c r="O30" s="272">
        <f>INVESTMENT!O30</f>
        <v>0</v>
      </c>
      <c r="P30" s="273" t="str">
        <f>INVESTMENT!P30</f>
        <v/>
      </c>
      <c r="Q30" s="317" t="str">
        <f>INVESTMENT!Q30</f>
        <v/>
      </c>
      <c r="R30" s="318" t="str">
        <f>INVESTMENT!R30</f>
        <v/>
      </c>
      <c r="S30" s="314" t="str">
        <f>INVESTMENT!S30</f>
        <v/>
      </c>
      <c r="T30" s="284"/>
      <c r="U30" s="284" t="str">
        <f t="shared" si="0"/>
        <v>-NA</v>
      </c>
    </row>
    <row r="31" spans="1:148" s="329" customFormat="1" ht="13.5" outlineLevel="1" thickBot="1" x14ac:dyDescent="0.25">
      <c r="A31" s="320" t="str">
        <f>IF(INVESTMENT!A31="","",INVESTMENT!A31)</f>
        <v/>
      </c>
      <c r="B31" s="321" t="str">
        <f>IF(INVESTMENT!B31="","",INVESTMENT!B31)</f>
        <v/>
      </c>
      <c r="C31" s="321"/>
      <c r="D31" s="321" t="str">
        <f>IF(INVESTMENT!D31="","",INVESTMENT!D31)</f>
        <v/>
      </c>
      <c r="E31" s="322" t="str">
        <f>IF(INVESTMENT!E31="","",INVESTMENT!E31)</f>
        <v/>
      </c>
      <c r="F31" s="322" t="str">
        <f>IF(INVESTMENT!F31="","",INVESTMENT!F31)</f>
        <v/>
      </c>
      <c r="G31" s="451" t="str">
        <f>IF(INVESTMENT!G31="","",INVESTMENT!G31)</f>
        <v/>
      </c>
      <c r="H31" s="324" t="str">
        <f>INVESTMENT!H31</f>
        <v/>
      </c>
      <c r="I31" s="325" t="str">
        <f>INVESTMENT!I31</f>
        <v/>
      </c>
      <c r="J31" s="274" t="str">
        <f>INVESTMENT!J31</f>
        <v/>
      </c>
      <c r="K31" s="326" t="str">
        <f>INVESTMENT!K31</f>
        <v/>
      </c>
      <c r="L31" s="275" t="str">
        <f>INVESTMENT!L31</f>
        <v/>
      </c>
      <c r="M31" s="275" t="str">
        <f>INVESTMENT!M31</f>
        <v/>
      </c>
      <c r="N31" s="326" t="str">
        <f>INVESTMENT!N31</f>
        <v/>
      </c>
      <c r="O31" s="274">
        <f>INVESTMENT!O31</f>
        <v>0</v>
      </c>
      <c r="P31" s="275" t="str">
        <f>INVESTMENT!P31</f>
        <v/>
      </c>
      <c r="Q31" s="326" t="str">
        <f>INVESTMENT!Q31</f>
        <v/>
      </c>
      <c r="R31" s="327" t="str">
        <f>INVESTMENT!R31</f>
        <v/>
      </c>
      <c r="S31" s="328" t="str">
        <f>INVESTMENT!S31</f>
        <v/>
      </c>
      <c r="T31" s="321"/>
      <c r="U31" s="284" t="str">
        <f t="shared" si="0"/>
        <v>-NA</v>
      </c>
      <c r="V31" s="284"/>
      <c r="W31" s="284"/>
      <c r="X31" s="284"/>
      <c r="Y31" s="284"/>
      <c r="Z31" s="284"/>
      <c r="AA31" s="284"/>
      <c r="AB31" s="284"/>
      <c r="AC31" s="284"/>
      <c r="AD31" s="284"/>
      <c r="AE31" s="284"/>
      <c r="AF31" s="284"/>
      <c r="AG31" s="284"/>
      <c r="AH31" s="284"/>
      <c r="AI31" s="284"/>
      <c r="AJ31" s="284"/>
      <c r="AK31" s="284"/>
      <c r="AL31" s="284"/>
      <c r="AM31" s="284"/>
      <c r="AN31" s="284"/>
      <c r="AO31" s="284"/>
      <c r="AP31" s="284"/>
      <c r="AQ31" s="284"/>
      <c r="AR31" s="284"/>
      <c r="AS31" s="284"/>
      <c r="AT31" s="284"/>
      <c r="AU31" s="284"/>
      <c r="AV31" s="284"/>
      <c r="AW31" s="284"/>
      <c r="AX31" s="284"/>
      <c r="AY31" s="284"/>
      <c r="AZ31" s="284"/>
      <c r="BA31" s="284"/>
      <c r="BB31" s="284"/>
      <c r="BC31" s="284"/>
      <c r="BD31" s="284"/>
      <c r="BE31" s="284"/>
      <c r="BF31" s="284"/>
      <c r="BG31" s="284"/>
      <c r="BH31" s="284"/>
      <c r="BI31" s="284"/>
      <c r="BJ31" s="284"/>
      <c r="BK31" s="284"/>
      <c r="BL31" s="284"/>
      <c r="BM31" s="284"/>
      <c r="BN31" s="284"/>
      <c r="BO31" s="284"/>
      <c r="BP31" s="284"/>
      <c r="BQ31" s="284"/>
      <c r="BR31" s="284"/>
      <c r="BS31" s="284"/>
      <c r="BT31" s="284"/>
      <c r="BU31" s="284"/>
      <c r="BV31" s="284"/>
      <c r="BW31" s="284"/>
      <c r="BX31" s="284"/>
      <c r="BY31" s="284"/>
      <c r="BZ31" s="284"/>
      <c r="CA31" s="284"/>
      <c r="CB31" s="284"/>
      <c r="CC31" s="284"/>
      <c r="CD31" s="284"/>
      <c r="CE31" s="284"/>
      <c r="CF31" s="284"/>
      <c r="CG31" s="284"/>
      <c r="CH31" s="284"/>
      <c r="CI31" s="284"/>
      <c r="CJ31" s="284"/>
      <c r="CK31" s="284"/>
      <c r="CL31" s="284"/>
      <c r="CM31" s="284"/>
      <c r="CN31" s="284"/>
      <c r="CO31" s="284"/>
      <c r="CP31" s="284"/>
      <c r="CQ31" s="284"/>
      <c r="CR31" s="284"/>
      <c r="CS31" s="284"/>
      <c r="CT31" s="284"/>
      <c r="CU31" s="284"/>
      <c r="CV31" s="284"/>
      <c r="CW31" s="284"/>
      <c r="CX31" s="284"/>
      <c r="CY31" s="284"/>
      <c r="CZ31" s="284"/>
      <c r="DA31" s="284"/>
      <c r="DB31" s="284"/>
      <c r="DC31" s="284"/>
      <c r="DD31" s="284"/>
      <c r="DE31" s="284"/>
      <c r="DF31" s="284"/>
      <c r="DG31" s="284"/>
      <c r="DH31" s="284"/>
      <c r="DI31" s="284"/>
      <c r="DJ31" s="284"/>
      <c r="DK31" s="284"/>
      <c r="DL31" s="284"/>
      <c r="DM31" s="284"/>
      <c r="DN31" s="284"/>
      <c r="DO31" s="284"/>
      <c r="DP31" s="284"/>
      <c r="DQ31" s="284"/>
      <c r="DR31" s="284"/>
      <c r="DS31" s="284"/>
      <c r="DT31" s="284"/>
      <c r="DU31" s="284"/>
      <c r="DV31" s="284"/>
      <c r="DW31" s="284"/>
      <c r="DX31" s="284"/>
      <c r="DY31" s="284"/>
      <c r="DZ31" s="284"/>
      <c r="EA31" s="284"/>
      <c r="EB31" s="284"/>
      <c r="EC31" s="284"/>
      <c r="ED31" s="284"/>
      <c r="EE31" s="284"/>
      <c r="EF31" s="284"/>
      <c r="EG31" s="284"/>
      <c r="EH31" s="284"/>
      <c r="EI31" s="284"/>
      <c r="EJ31" s="284"/>
      <c r="EK31" s="284"/>
      <c r="EL31" s="284"/>
      <c r="EM31" s="284"/>
      <c r="EN31" s="284"/>
      <c r="EO31" s="284"/>
      <c r="EP31" s="284"/>
      <c r="EQ31" s="284"/>
      <c r="ER31" s="284"/>
    </row>
    <row r="32" spans="1:148" x14ac:dyDescent="0.2">
      <c r="A32" s="464" t="s">
        <v>11</v>
      </c>
      <c r="B32" s="464"/>
      <c r="C32" s="297"/>
      <c r="D32" s="448"/>
      <c r="E32" s="266"/>
      <c r="F32" s="266"/>
      <c r="G32" s="292"/>
      <c r="H32" s="330">
        <f>SUM(H15:H31)</f>
        <v>0</v>
      </c>
      <c r="I32" s="330">
        <f>SUM(I15:I31)</f>
        <v>0</v>
      </c>
      <c r="J32" s="269"/>
      <c r="K32" s="331">
        <f>SUM(K15:K31)</f>
        <v>0</v>
      </c>
      <c r="L32" s="332"/>
      <c r="M32" s="332">
        <f>SUM(M15:M31)</f>
        <v>0</v>
      </c>
      <c r="N32" s="331">
        <f>SUM(N15:N31)</f>
        <v>0</v>
      </c>
      <c r="P32" s="332">
        <f>SUM(P15:P31)</f>
        <v>0</v>
      </c>
      <c r="Q32" s="331">
        <f>SUM(Q15:Q31)</f>
        <v>0</v>
      </c>
      <c r="R32" s="333" t="str">
        <f>IF(H32=0,"",Q32/P32)</f>
        <v/>
      </c>
      <c r="S32" s="292" t="str">
        <f>IF(H32=0,"",1-P32/K32)</f>
        <v/>
      </c>
    </row>
    <row r="33" spans="1:148" x14ac:dyDescent="0.2">
      <c r="E33" s="266"/>
      <c r="F33" s="266"/>
      <c r="G33" s="292"/>
      <c r="H33" s="330"/>
      <c r="I33" s="330"/>
      <c r="J33" s="269"/>
      <c r="K33" s="331"/>
      <c r="L33" s="332"/>
      <c r="M33" s="332"/>
      <c r="N33" s="331"/>
      <c r="P33" s="332"/>
      <c r="Q33" s="331"/>
      <c r="R33" s="334"/>
      <c r="S33" s="292"/>
    </row>
    <row r="34" spans="1:148" outlineLevel="1" x14ac:dyDescent="0.2">
      <c r="B34" s="98"/>
      <c r="C34" s="98"/>
      <c r="D34" s="98"/>
      <c r="E34" s="293"/>
      <c r="F34" s="293"/>
      <c r="G34" s="293"/>
      <c r="H34" s="150"/>
      <c r="I34" s="294"/>
      <c r="J34" s="296"/>
      <c r="K34" s="335"/>
      <c r="L34" s="336"/>
      <c r="M34" s="336"/>
      <c r="N34" s="335"/>
      <c r="O34" s="296"/>
      <c r="P34" s="336"/>
      <c r="Q34" s="335"/>
      <c r="R34" s="150"/>
      <c r="S34" s="150"/>
    </row>
    <row r="35" spans="1:148" ht="13.5" outlineLevel="1" thickBot="1" x14ac:dyDescent="0.25">
      <c r="A35" s="337" t="s">
        <v>12</v>
      </c>
      <c r="B35" s="337" t="s">
        <v>53</v>
      </c>
      <c r="C35" s="337"/>
      <c r="D35" s="337"/>
      <c r="E35" s="338" t="s">
        <v>54</v>
      </c>
      <c r="F35" s="338" t="s">
        <v>55</v>
      </c>
      <c r="G35" s="338" t="s">
        <v>7</v>
      </c>
      <c r="H35" s="338" t="s">
        <v>20</v>
      </c>
      <c r="I35" s="339" t="s">
        <v>78</v>
      </c>
      <c r="J35" s="270" t="s">
        <v>10</v>
      </c>
      <c r="K35" s="338" t="s">
        <v>56</v>
      </c>
      <c r="L35" s="271" t="s">
        <v>57</v>
      </c>
      <c r="M35" s="271" t="s">
        <v>31</v>
      </c>
      <c r="N35" s="340" t="s">
        <v>21</v>
      </c>
      <c r="O35" s="270" t="s">
        <v>22</v>
      </c>
      <c r="P35" s="271" t="s">
        <v>58</v>
      </c>
      <c r="Q35" s="338" t="s">
        <v>32</v>
      </c>
      <c r="R35" s="338" t="s">
        <v>23</v>
      </c>
      <c r="S35" s="338" t="s">
        <v>24</v>
      </c>
    </row>
    <row r="36" spans="1:148" outlineLevel="1" x14ac:dyDescent="0.2">
      <c r="A36" s="302" t="str">
        <f>IF(INVESTMENT!A36="","",INVESTMENT!A36)</f>
        <v/>
      </c>
      <c r="B36" s="303" t="str">
        <f>IF(INVESTMENT!B36="","",INVESTMENT!B36)</f>
        <v/>
      </c>
      <c r="C36" s="303"/>
      <c r="D36" s="303" t="str">
        <f>IF(INVESTMENT!D36="","",INVESTMENT!D36)</f>
        <v/>
      </c>
      <c r="E36" s="304" t="str">
        <f>IF(INVESTMENT!E36="","",INVESTMENT!E36)</f>
        <v/>
      </c>
      <c r="F36" s="304" t="str">
        <f>IF(INVESTMENT!F36="","",INVESTMENT!F36)</f>
        <v/>
      </c>
      <c r="G36" s="355">
        <f>INVESTMENT!G36*100</f>
        <v>0</v>
      </c>
      <c r="H36" s="305" t="str">
        <f>INVESTMENT!H36</f>
        <v/>
      </c>
      <c r="I36" s="306" t="str">
        <f>INVESTMENT!I36</f>
        <v/>
      </c>
      <c r="J36" s="307">
        <f>INVESTMENT!J36</f>
        <v>0</v>
      </c>
      <c r="K36" s="308" t="str">
        <f>INVESTMENT!K36</f>
        <v/>
      </c>
      <c r="L36" s="309">
        <f>INVESTMENT!L36</f>
        <v>0</v>
      </c>
      <c r="M36" s="309" t="str">
        <f>INVESTMENT!M36</f>
        <v xml:space="preserve"> </v>
      </c>
      <c r="N36" s="308" t="str">
        <f>INVESTMENT!N36</f>
        <v/>
      </c>
      <c r="O36" s="307">
        <f>INVESTMENT!O36</f>
        <v>0</v>
      </c>
      <c r="P36" s="309" t="str">
        <f>INVESTMENT!P36</f>
        <v/>
      </c>
      <c r="Q36" s="308" t="str">
        <f>INVESTMENT!Q36</f>
        <v/>
      </c>
      <c r="R36" s="310" t="str">
        <f>INVESTMENT!R36</f>
        <v/>
      </c>
      <c r="S36" s="311" t="str">
        <f>INVESTMENT!S36</f>
        <v/>
      </c>
      <c r="U36" s="284" t="str">
        <f t="shared" ref="U36:U42" si="1">IF(ISBLANK(A36),"",CONCATENATE(C36,"-",$B$6))</f>
        <v>-NA</v>
      </c>
      <c r="Y36" s="297"/>
    </row>
    <row r="37" spans="1:148" outlineLevel="1" x14ac:dyDescent="0.2">
      <c r="A37" s="312" t="str">
        <f>IF(INVESTMENT!A37="","",INVESTMENT!A37)</f>
        <v/>
      </c>
      <c r="B37" s="284" t="str">
        <f>IF(INVESTMENT!B37="","",INVESTMENT!B37)</f>
        <v/>
      </c>
      <c r="C37" s="284"/>
      <c r="D37" s="284" t="str">
        <f>IF(INVESTMENT!D37="","",INVESTMENT!D37)</f>
        <v/>
      </c>
      <c r="E37" s="313" t="str">
        <f>IF(INVESTMENT!E37="","",INVESTMENT!E37)</f>
        <v/>
      </c>
      <c r="F37" s="313" t="str">
        <f>IF(INVESTMENT!F37="","",INVESTMENT!F37)</f>
        <v/>
      </c>
      <c r="G37" s="356">
        <f>INVESTMENT!G37*100</f>
        <v>0</v>
      </c>
      <c r="H37" s="315" t="str">
        <f>INVESTMENT!H37</f>
        <v/>
      </c>
      <c r="I37" s="316" t="str">
        <f>INVESTMENT!I37</f>
        <v/>
      </c>
      <c r="J37" s="272">
        <f>INVESTMENT!J37</f>
        <v>0</v>
      </c>
      <c r="K37" s="317" t="str">
        <f>INVESTMENT!K37</f>
        <v/>
      </c>
      <c r="L37" s="273">
        <f>INVESTMENT!L37</f>
        <v>0</v>
      </c>
      <c r="M37" s="273" t="str">
        <f>INVESTMENT!M37</f>
        <v xml:space="preserve"> </v>
      </c>
      <c r="N37" s="317" t="str">
        <f>INVESTMENT!N37</f>
        <v/>
      </c>
      <c r="O37" s="272">
        <f>INVESTMENT!O37</f>
        <v>0</v>
      </c>
      <c r="P37" s="273" t="str">
        <f>INVESTMENT!P37</f>
        <v/>
      </c>
      <c r="Q37" s="317" t="str">
        <f>INVESTMENT!Q37</f>
        <v/>
      </c>
      <c r="R37" s="318" t="str">
        <f>INVESTMENT!R37</f>
        <v/>
      </c>
      <c r="S37" s="319" t="str">
        <f>INVESTMENT!S37</f>
        <v/>
      </c>
      <c r="U37" s="284" t="str">
        <f t="shared" si="1"/>
        <v>-NA</v>
      </c>
    </row>
    <row r="38" spans="1:148" outlineLevel="1" x14ac:dyDescent="0.2">
      <c r="A38" s="312" t="str">
        <f>IF(INVESTMENT!A38="","",INVESTMENT!A38)</f>
        <v/>
      </c>
      <c r="B38" s="284" t="str">
        <f>IF(INVESTMENT!B38="","",INVESTMENT!B38)</f>
        <v/>
      </c>
      <c r="C38" s="284"/>
      <c r="D38" s="284" t="str">
        <f>IF(INVESTMENT!D38="","",INVESTMENT!D38)</f>
        <v/>
      </c>
      <c r="E38" s="313" t="str">
        <f>IF(INVESTMENT!E38="","",INVESTMENT!E38)</f>
        <v/>
      </c>
      <c r="F38" s="313" t="str">
        <f>IF(INVESTMENT!F38="","",INVESTMENT!F38)</f>
        <v/>
      </c>
      <c r="G38" s="356">
        <f>INVESTMENT!G38*100</f>
        <v>0</v>
      </c>
      <c r="H38" s="315" t="str">
        <f>INVESTMENT!H38</f>
        <v/>
      </c>
      <c r="I38" s="316" t="str">
        <f>INVESTMENT!I38</f>
        <v/>
      </c>
      <c r="J38" s="272">
        <f>INVESTMENT!J38</f>
        <v>0</v>
      </c>
      <c r="K38" s="317" t="str">
        <f>INVESTMENT!K38</f>
        <v/>
      </c>
      <c r="L38" s="273">
        <f>INVESTMENT!L38</f>
        <v>0</v>
      </c>
      <c r="M38" s="273" t="str">
        <f>INVESTMENT!M38</f>
        <v xml:space="preserve"> </v>
      </c>
      <c r="N38" s="317" t="str">
        <f>INVESTMENT!N38</f>
        <v/>
      </c>
      <c r="O38" s="272">
        <f>INVESTMENT!O38</f>
        <v>0</v>
      </c>
      <c r="P38" s="273" t="str">
        <f>INVESTMENT!P38</f>
        <v/>
      </c>
      <c r="Q38" s="317" t="str">
        <f>INVESTMENT!Q38</f>
        <v/>
      </c>
      <c r="R38" s="318" t="str">
        <f>INVESTMENT!R38</f>
        <v/>
      </c>
      <c r="S38" s="319" t="str">
        <f>INVESTMENT!S38</f>
        <v/>
      </c>
      <c r="U38" s="284" t="str">
        <f t="shared" si="1"/>
        <v>-NA</v>
      </c>
    </row>
    <row r="39" spans="1:148" outlineLevel="1" x14ac:dyDescent="0.2">
      <c r="A39" s="312" t="str">
        <f>IF(INVESTMENT!A39="","",INVESTMENT!A39)</f>
        <v/>
      </c>
      <c r="B39" s="284" t="str">
        <f>IF(INVESTMENT!B39="","",INVESTMENT!B39)</f>
        <v/>
      </c>
      <c r="C39" s="284"/>
      <c r="D39" s="284" t="str">
        <f>IF(INVESTMENT!D39="","",INVESTMENT!D39)</f>
        <v/>
      </c>
      <c r="E39" s="313" t="str">
        <f>IF(INVESTMENT!E39="","",INVESTMENT!E39)</f>
        <v/>
      </c>
      <c r="F39" s="313" t="str">
        <f>IF(INVESTMENT!F39="","",INVESTMENT!F39)</f>
        <v/>
      </c>
      <c r="G39" s="356">
        <f>INVESTMENT!G39*100</f>
        <v>0</v>
      </c>
      <c r="H39" s="315" t="str">
        <f>INVESTMENT!H39</f>
        <v/>
      </c>
      <c r="I39" s="316" t="str">
        <f>INVESTMENT!I39</f>
        <v/>
      </c>
      <c r="J39" s="272">
        <f>INVESTMENT!J39</f>
        <v>0</v>
      </c>
      <c r="K39" s="317" t="str">
        <f>INVESTMENT!K39</f>
        <v/>
      </c>
      <c r="L39" s="273">
        <f>INVESTMENT!L39</f>
        <v>0</v>
      </c>
      <c r="M39" s="273" t="str">
        <f>INVESTMENT!M39</f>
        <v xml:space="preserve"> </v>
      </c>
      <c r="N39" s="317" t="str">
        <f>INVESTMENT!N39</f>
        <v/>
      </c>
      <c r="O39" s="272">
        <f>INVESTMENT!O39</f>
        <v>0</v>
      </c>
      <c r="P39" s="273" t="str">
        <f>INVESTMENT!P39</f>
        <v/>
      </c>
      <c r="Q39" s="317" t="str">
        <f>INVESTMENT!Q39</f>
        <v/>
      </c>
      <c r="R39" s="318" t="str">
        <f>INVESTMENT!R39</f>
        <v/>
      </c>
      <c r="S39" s="319" t="str">
        <f>INVESTMENT!S39</f>
        <v/>
      </c>
      <c r="U39" s="284" t="str">
        <f t="shared" si="1"/>
        <v>-NA</v>
      </c>
    </row>
    <row r="40" spans="1:148" outlineLevel="1" x14ac:dyDescent="0.2">
      <c r="A40" s="312" t="str">
        <f>IF(INVESTMENT!A40="","",INVESTMENT!A40)</f>
        <v/>
      </c>
      <c r="B40" s="284" t="str">
        <f>IF(INVESTMENT!B40="","",INVESTMENT!B40)</f>
        <v/>
      </c>
      <c r="C40" s="284"/>
      <c r="D40" s="284" t="str">
        <f>IF(INVESTMENT!D40="","",INVESTMENT!D40)</f>
        <v/>
      </c>
      <c r="E40" s="313" t="str">
        <f>IF(INVESTMENT!E40="","",INVESTMENT!E40)</f>
        <v/>
      </c>
      <c r="F40" s="313" t="str">
        <f>IF(INVESTMENT!F40="","",INVESTMENT!F40)</f>
        <v/>
      </c>
      <c r="G40" s="356">
        <f>INVESTMENT!G40*100</f>
        <v>0</v>
      </c>
      <c r="H40" s="315" t="str">
        <f>INVESTMENT!H40</f>
        <v/>
      </c>
      <c r="I40" s="316" t="str">
        <f>INVESTMENT!I40</f>
        <v/>
      </c>
      <c r="J40" s="272">
        <f>INVESTMENT!J40</f>
        <v>0</v>
      </c>
      <c r="K40" s="317" t="str">
        <f>INVESTMENT!K40</f>
        <v/>
      </c>
      <c r="L40" s="273">
        <f>INVESTMENT!L40</f>
        <v>0</v>
      </c>
      <c r="M40" s="273" t="str">
        <f>INVESTMENT!M40</f>
        <v xml:space="preserve"> </v>
      </c>
      <c r="N40" s="317" t="str">
        <f>INVESTMENT!N40</f>
        <v/>
      </c>
      <c r="O40" s="272">
        <f>INVESTMENT!O40</f>
        <v>0</v>
      </c>
      <c r="P40" s="273" t="str">
        <f>INVESTMENT!P40</f>
        <v/>
      </c>
      <c r="Q40" s="317" t="str">
        <f>INVESTMENT!Q40</f>
        <v/>
      </c>
      <c r="R40" s="318" t="str">
        <f>INVESTMENT!R40</f>
        <v/>
      </c>
      <c r="S40" s="319" t="str">
        <f>INVESTMENT!S40</f>
        <v/>
      </c>
      <c r="U40" s="284" t="str">
        <f t="shared" si="1"/>
        <v>-NA</v>
      </c>
    </row>
    <row r="41" spans="1:148" outlineLevel="1" x14ac:dyDescent="0.2">
      <c r="A41" s="312" t="str">
        <f>IF(INVESTMENT!A41="","",INVESTMENT!A41)</f>
        <v/>
      </c>
      <c r="B41" s="284" t="str">
        <f>IF(INVESTMENT!B41="","",INVESTMENT!B41)</f>
        <v/>
      </c>
      <c r="C41" s="284"/>
      <c r="D41" s="284" t="str">
        <f>IF(INVESTMENT!D41="","",INVESTMENT!D41)</f>
        <v/>
      </c>
      <c r="E41" s="313" t="str">
        <f>IF(INVESTMENT!E41="","",INVESTMENT!E41)</f>
        <v/>
      </c>
      <c r="F41" s="313" t="str">
        <f>IF(INVESTMENT!F41="","",INVESTMENT!F41)</f>
        <v/>
      </c>
      <c r="G41" s="356">
        <f>INVESTMENT!G41*100</f>
        <v>0</v>
      </c>
      <c r="H41" s="315" t="str">
        <f>INVESTMENT!H41</f>
        <v/>
      </c>
      <c r="I41" s="316" t="str">
        <f>INVESTMENT!I41</f>
        <v/>
      </c>
      <c r="J41" s="272">
        <f>INVESTMENT!J41</f>
        <v>0</v>
      </c>
      <c r="K41" s="317" t="str">
        <f>INVESTMENT!K41</f>
        <v/>
      </c>
      <c r="L41" s="273">
        <f>INVESTMENT!L41</f>
        <v>0</v>
      </c>
      <c r="M41" s="273" t="str">
        <f>INVESTMENT!M41</f>
        <v xml:space="preserve"> </v>
      </c>
      <c r="N41" s="317" t="str">
        <f>INVESTMENT!N41</f>
        <v/>
      </c>
      <c r="O41" s="272">
        <f>INVESTMENT!O41</f>
        <v>0</v>
      </c>
      <c r="P41" s="273" t="str">
        <f>INVESTMENT!P41</f>
        <v/>
      </c>
      <c r="Q41" s="317" t="str">
        <f>INVESTMENT!Q41</f>
        <v/>
      </c>
      <c r="R41" s="318" t="str">
        <f>INVESTMENT!R41</f>
        <v/>
      </c>
      <c r="S41" s="319" t="str">
        <f>INVESTMENT!S41</f>
        <v/>
      </c>
      <c r="U41" s="284" t="str">
        <f t="shared" si="1"/>
        <v>-NA</v>
      </c>
    </row>
    <row r="42" spans="1:148" s="329" customFormat="1" ht="13.5" outlineLevel="1" thickBot="1" x14ac:dyDescent="0.25">
      <c r="A42" s="320" t="str">
        <f>IF(INVESTMENT!A42="","",INVESTMENT!A42)</f>
        <v/>
      </c>
      <c r="B42" s="321" t="str">
        <f>IF(INVESTMENT!B42="","",INVESTMENT!B42)</f>
        <v/>
      </c>
      <c r="C42" s="321"/>
      <c r="D42" s="321" t="str">
        <f>IF(INVESTMENT!D42="","",INVESTMENT!D42)</f>
        <v/>
      </c>
      <c r="E42" s="322" t="str">
        <f>IF(INVESTMENT!E42="","",INVESTMENT!E42)</f>
        <v/>
      </c>
      <c r="F42" s="322" t="str">
        <f>IF(INVESTMENT!F42="","",INVESTMENT!F42)</f>
        <v/>
      </c>
      <c r="G42" s="357">
        <f>INVESTMENT!G42*100</f>
        <v>0</v>
      </c>
      <c r="H42" s="324" t="str">
        <f>INVESTMENT!H42</f>
        <v/>
      </c>
      <c r="I42" s="325" t="str">
        <f>INVESTMENT!I42</f>
        <v/>
      </c>
      <c r="J42" s="274">
        <f>INVESTMENT!J42</f>
        <v>0</v>
      </c>
      <c r="K42" s="326" t="str">
        <f>INVESTMENT!K42</f>
        <v/>
      </c>
      <c r="L42" s="275">
        <f>INVESTMENT!L42</f>
        <v>0</v>
      </c>
      <c r="M42" s="275" t="str">
        <f>INVESTMENT!M42</f>
        <v xml:space="preserve"> </v>
      </c>
      <c r="N42" s="326" t="str">
        <f>INVESTMENT!N42</f>
        <v/>
      </c>
      <c r="O42" s="274">
        <f>INVESTMENT!O42</f>
        <v>0</v>
      </c>
      <c r="P42" s="275" t="str">
        <f>INVESTMENT!P42</f>
        <v/>
      </c>
      <c r="Q42" s="326" t="str">
        <f>INVESTMENT!Q42</f>
        <v/>
      </c>
      <c r="R42" s="327" t="str">
        <f>INVESTMENT!R42</f>
        <v/>
      </c>
      <c r="S42" s="328" t="str">
        <f>INVESTMENT!S42</f>
        <v/>
      </c>
      <c r="T42" s="321"/>
      <c r="U42" s="284" t="str">
        <f t="shared" si="1"/>
        <v>-NA</v>
      </c>
      <c r="V42" s="284"/>
      <c r="W42" s="284"/>
      <c r="X42" s="284"/>
      <c r="Y42" s="284"/>
      <c r="Z42" s="284"/>
      <c r="AA42" s="284"/>
      <c r="AB42" s="284"/>
      <c r="AC42" s="284"/>
      <c r="AD42" s="284"/>
      <c r="AE42" s="284"/>
      <c r="AF42" s="284"/>
      <c r="AG42" s="284"/>
      <c r="AH42" s="284"/>
      <c r="AI42" s="284"/>
      <c r="AJ42" s="284"/>
      <c r="AK42" s="284"/>
      <c r="AL42" s="284"/>
      <c r="AM42" s="284"/>
      <c r="AN42" s="284"/>
      <c r="AO42" s="284"/>
      <c r="AP42" s="284"/>
      <c r="AQ42" s="284"/>
      <c r="AR42" s="284"/>
      <c r="AS42" s="284"/>
      <c r="AT42" s="284"/>
      <c r="AU42" s="284"/>
      <c r="AV42" s="284"/>
      <c r="AW42" s="284"/>
      <c r="AX42" s="284"/>
      <c r="AY42" s="284"/>
      <c r="AZ42" s="284"/>
      <c r="BA42" s="284"/>
      <c r="BB42" s="284"/>
      <c r="BC42" s="284"/>
      <c r="BD42" s="284"/>
      <c r="BE42" s="284"/>
      <c r="BF42" s="284"/>
      <c r="BG42" s="284"/>
      <c r="BH42" s="284"/>
      <c r="BI42" s="284"/>
      <c r="BJ42" s="284"/>
      <c r="BK42" s="284"/>
      <c r="BL42" s="284"/>
      <c r="BM42" s="284"/>
      <c r="BN42" s="284"/>
      <c r="BO42" s="284"/>
      <c r="BP42" s="284"/>
      <c r="BQ42" s="284"/>
      <c r="BR42" s="284"/>
      <c r="BS42" s="284"/>
      <c r="BT42" s="284"/>
      <c r="BU42" s="284"/>
      <c r="BV42" s="284"/>
      <c r="BW42" s="284"/>
      <c r="BX42" s="284"/>
      <c r="BY42" s="284"/>
      <c r="BZ42" s="284"/>
      <c r="CA42" s="284"/>
      <c r="CB42" s="284"/>
      <c r="CC42" s="284"/>
      <c r="CD42" s="284"/>
      <c r="CE42" s="284"/>
      <c r="CF42" s="284"/>
      <c r="CG42" s="284"/>
      <c r="CH42" s="284"/>
      <c r="CI42" s="284"/>
      <c r="CJ42" s="284"/>
      <c r="CK42" s="284"/>
      <c r="CL42" s="284"/>
      <c r="CM42" s="284"/>
      <c r="CN42" s="284"/>
      <c r="CO42" s="284"/>
      <c r="CP42" s="284"/>
      <c r="CQ42" s="284"/>
      <c r="CR42" s="284"/>
      <c r="CS42" s="284"/>
      <c r="CT42" s="284"/>
      <c r="CU42" s="284"/>
      <c r="CV42" s="284"/>
      <c r="CW42" s="284"/>
      <c r="CX42" s="284"/>
      <c r="CY42" s="284"/>
      <c r="CZ42" s="284"/>
      <c r="DA42" s="284"/>
      <c r="DB42" s="284"/>
      <c r="DC42" s="284"/>
      <c r="DD42" s="284"/>
      <c r="DE42" s="284"/>
      <c r="DF42" s="284"/>
      <c r="DG42" s="284"/>
      <c r="DH42" s="284"/>
      <c r="DI42" s="284"/>
      <c r="DJ42" s="284"/>
      <c r="DK42" s="284"/>
      <c r="DL42" s="284"/>
      <c r="DM42" s="284"/>
      <c r="DN42" s="284"/>
      <c r="DO42" s="284"/>
      <c r="DP42" s="284"/>
      <c r="DQ42" s="284"/>
      <c r="DR42" s="284"/>
      <c r="DS42" s="284"/>
      <c r="DT42" s="284"/>
      <c r="DU42" s="284"/>
      <c r="DV42" s="284"/>
      <c r="DW42" s="284"/>
      <c r="DX42" s="284"/>
      <c r="DY42" s="284"/>
      <c r="DZ42" s="284"/>
      <c r="EA42" s="284"/>
      <c r="EB42" s="284"/>
      <c r="EC42" s="284"/>
      <c r="ED42" s="284"/>
      <c r="EE42" s="284"/>
      <c r="EF42" s="284"/>
      <c r="EG42" s="284"/>
      <c r="EH42" s="284"/>
      <c r="EI42" s="284"/>
      <c r="EJ42" s="284"/>
      <c r="EK42" s="284"/>
      <c r="EL42" s="284"/>
      <c r="EM42" s="284"/>
      <c r="EN42" s="284"/>
      <c r="EO42" s="284"/>
      <c r="EP42" s="284"/>
      <c r="EQ42" s="284"/>
      <c r="ER42" s="284"/>
    </row>
    <row r="43" spans="1:148" x14ac:dyDescent="0.2">
      <c r="A43" s="98" t="s">
        <v>13</v>
      </c>
      <c r="H43" s="330">
        <f>SUM(H36:H42)</f>
        <v>0</v>
      </c>
      <c r="I43" s="330">
        <f>SUM(I36:I42)</f>
        <v>0</v>
      </c>
      <c r="J43" s="269"/>
      <c r="K43" s="331">
        <f>SUM(K36:K42)</f>
        <v>0</v>
      </c>
      <c r="L43" s="332"/>
      <c r="M43" s="332">
        <f>SUM(M36:M42)</f>
        <v>0</v>
      </c>
      <c r="N43" s="331">
        <f>SUM(N36:N42)</f>
        <v>0</v>
      </c>
      <c r="P43" s="332">
        <f>SUM(P36:P42)</f>
        <v>0</v>
      </c>
      <c r="Q43" s="331">
        <f>SUM(Q36:Q42)</f>
        <v>0</v>
      </c>
      <c r="R43" s="333">
        <f>IF(ISBLANK(A43),"",IF(P43&gt;0,Q43/P43,0))</f>
        <v>0</v>
      </c>
      <c r="S43" s="292">
        <f>IF(ISBLANK(A43),"",IF(K43&gt;0,1-P43/K43,1))</f>
        <v>1</v>
      </c>
    </row>
    <row r="44" spans="1:148" x14ac:dyDescent="0.2">
      <c r="J44" s="269"/>
      <c r="K44" s="331"/>
      <c r="L44" s="332"/>
      <c r="M44" s="332"/>
      <c r="N44" s="331"/>
      <c r="P44" s="332"/>
      <c r="Q44" s="331"/>
    </row>
    <row r="45" spans="1:148" x14ac:dyDescent="0.2">
      <c r="A45" s="98" t="s">
        <v>14</v>
      </c>
      <c r="H45" s="341">
        <f>INVESTMENT!H45</f>
        <v>0</v>
      </c>
      <c r="I45" s="342">
        <f>INVESTMENT!I45</f>
        <v>0</v>
      </c>
      <c r="J45" s="269"/>
      <c r="K45" s="341">
        <f>INVESTMENT!K45</f>
        <v>0</v>
      </c>
      <c r="L45" s="332"/>
      <c r="M45" s="343">
        <f>INVESTMENT!M45</f>
        <v>0</v>
      </c>
      <c r="N45" s="343">
        <f>INVESTMENT!N45</f>
        <v>0</v>
      </c>
      <c r="P45" s="343">
        <f>INVESTMENT!P45</f>
        <v>0</v>
      </c>
      <c r="Q45" s="343">
        <f>INVESTMENT!Q45</f>
        <v>0</v>
      </c>
      <c r="R45" s="333" t="str">
        <f>IF(H45=0,"",Q45/P45)</f>
        <v/>
      </c>
      <c r="S45" s="292" t="str">
        <f>IF(H45=0,"",1-P45/K45)</f>
        <v/>
      </c>
    </row>
    <row r="46" spans="1:148" x14ac:dyDescent="0.2">
      <c r="A46" s="98" t="s">
        <v>165</v>
      </c>
      <c r="H46" s="341">
        <f>INVESTMENT!H46</f>
        <v>0</v>
      </c>
      <c r="I46" s="342">
        <f>INVESTMENT!I46</f>
        <v>0</v>
      </c>
      <c r="J46" s="269"/>
      <c r="K46" s="341">
        <f>INVESTMENT!K46</f>
        <v>0</v>
      </c>
      <c r="L46" s="332"/>
      <c r="M46" s="341">
        <f>IF($B$5="Fixed Price",RISK!$M$7*(M32+M43)+RISK!$O$7*(M32+M43),0)</f>
        <v>0</v>
      </c>
      <c r="N46" s="341">
        <f>IF($B$5="Fixed Price",RISK!$M$7*(N32+N43)+RISK!$O$7*(N32+N43),0)</f>
        <v>0</v>
      </c>
      <c r="P46" s="341">
        <f>IF($B$5="Fixed Price",RISK!$M$7*(P32+P43)+RISK!$O$7*(P32+P43),0)</f>
        <v>0</v>
      </c>
      <c r="Q46" s="341">
        <f>IF($B$5="Fixed Price",RISK!$M$7*(Q32+Q43)+RISK!$O$7*(Q32+Q43),0)</f>
        <v>0</v>
      </c>
      <c r="R46" s="333" t="str">
        <f>IF(H46=0,"",Q46/P46)</f>
        <v/>
      </c>
      <c r="S46" s="292" t="str">
        <f>IF(H46=0,"",1-P46/K46)</f>
        <v/>
      </c>
    </row>
    <row r="47" spans="1:148" x14ac:dyDescent="0.2">
      <c r="A47" s="98" t="s">
        <v>164</v>
      </c>
      <c r="H47" s="341">
        <f>INVESTMENT!H47</f>
        <v>0</v>
      </c>
      <c r="I47" s="342">
        <f>INVESTMENT!I47</f>
        <v>0</v>
      </c>
      <c r="J47" s="269"/>
      <c r="K47" s="341">
        <f>INVESTMENT!K47</f>
        <v>0</v>
      </c>
      <c r="L47" s="332"/>
      <c r="M47" s="341">
        <f>IF($B$5="T&amp;M",RISK!$O$7*(M32+M43),0)</f>
        <v>0</v>
      </c>
      <c r="N47" s="341">
        <f>IF($B$5="T&amp;M",RISK!$O$7*(N32+N43),0)</f>
        <v>0</v>
      </c>
      <c r="P47" s="341">
        <f>IF($B$5="T&amp;M",RISK!$O$7*(P32+P43),0)</f>
        <v>0</v>
      </c>
      <c r="Q47" s="341">
        <f>IF($B$5="T&amp;M",RISK!$O$7*(Q32+Q43),0)</f>
        <v>0</v>
      </c>
      <c r="R47" s="333" t="str">
        <f>IF(H47=0,"",Q47/P47)</f>
        <v/>
      </c>
      <c r="S47" s="292" t="str">
        <f>IF(H47=0,"",1-P47/K47)</f>
        <v/>
      </c>
    </row>
    <row r="48" spans="1:148" x14ac:dyDescent="0.2">
      <c r="A48" s="98" t="s">
        <v>141</v>
      </c>
      <c r="H48" s="341">
        <f>INVESTMENT!H48</f>
        <v>0</v>
      </c>
      <c r="I48" s="342">
        <f>INVESTMENT!I48</f>
        <v>0</v>
      </c>
      <c r="J48" s="269"/>
      <c r="K48" s="341">
        <f>INVESTMENT!K48</f>
        <v>0</v>
      </c>
      <c r="L48" s="332"/>
      <c r="M48" s="341">
        <f>M32+M43+M45+M46+M47</f>
        <v>0</v>
      </c>
      <c r="N48" s="341">
        <f>N32+N43+N45+N47+N58+N46</f>
        <v>0</v>
      </c>
      <c r="P48" s="341">
        <f>P32+P43+P45+P46+P47</f>
        <v>0</v>
      </c>
      <c r="Q48" s="341">
        <f>Q32+Q43+Q45+Q47+Q58+Q46</f>
        <v>0</v>
      </c>
      <c r="R48" s="333">
        <f>IF(ISBLANK(A48),"",IF(P48&gt;0,Q48/P48,0))</f>
        <v>0</v>
      </c>
      <c r="S48" s="292"/>
    </row>
    <row r="49" spans="1:148" x14ac:dyDescent="0.2">
      <c r="A49" s="98"/>
      <c r="H49" s="341"/>
      <c r="I49" s="342"/>
      <c r="J49" s="269"/>
      <c r="K49" s="343"/>
      <c r="L49" s="332"/>
      <c r="M49" s="343"/>
      <c r="N49" s="343"/>
      <c r="P49" s="343"/>
      <c r="Q49" s="343"/>
      <c r="R49" s="333"/>
      <c r="S49" s="292"/>
    </row>
    <row r="50" spans="1:148" hidden="1" outlineLevel="1" x14ac:dyDescent="0.2">
      <c r="A50" s="337" t="s">
        <v>139</v>
      </c>
      <c r="B50" s="337"/>
      <c r="C50" s="337"/>
      <c r="D50" s="337"/>
      <c r="E50" s="338" t="s">
        <v>54</v>
      </c>
      <c r="F50" s="338" t="s">
        <v>55</v>
      </c>
      <c r="G50" s="338" t="s">
        <v>143</v>
      </c>
      <c r="H50" s="338" t="s">
        <v>20</v>
      </c>
      <c r="I50" s="339" t="s">
        <v>78</v>
      </c>
      <c r="J50" s="270" t="s">
        <v>10</v>
      </c>
      <c r="K50" s="338" t="s">
        <v>56</v>
      </c>
      <c r="L50" s="271"/>
      <c r="M50" s="271" t="s">
        <v>31</v>
      </c>
      <c r="N50" s="340" t="s">
        <v>21</v>
      </c>
      <c r="O50" s="270" t="s">
        <v>22</v>
      </c>
      <c r="P50" s="271" t="s">
        <v>58</v>
      </c>
      <c r="Q50" s="338" t="s">
        <v>32</v>
      </c>
      <c r="R50" s="338"/>
      <c r="S50" s="338"/>
    </row>
    <row r="51" spans="1:148" hidden="1" outlineLevel="1" x14ac:dyDescent="0.2">
      <c r="A51" s="284"/>
      <c r="B51" s="284"/>
      <c r="C51" s="284"/>
      <c r="D51" s="284"/>
      <c r="E51" s="313"/>
      <c r="F51" s="313"/>
      <c r="G51" s="314"/>
      <c r="H51" s="315" t="str">
        <f>IF(ISBLANK(A51),"",NETWORKDAYS(E51,F51)*G51)</f>
        <v/>
      </c>
      <c r="I51" s="316" t="str">
        <f>IF(ISBLANK(A51),"",H51*$B$10)</f>
        <v/>
      </c>
      <c r="J51" s="272">
        <v>0</v>
      </c>
      <c r="K51" s="317" t="str">
        <f>IF(ISBLANK(A51),"",I51*J51)</f>
        <v/>
      </c>
      <c r="L51" s="273">
        <v>0</v>
      </c>
      <c r="M51" s="273" t="str">
        <f>IF(ISBLANK(A51)," ",(L51*H51*$B$10))</f>
        <v xml:space="preserve"> </v>
      </c>
      <c r="N51" s="317" t="str">
        <f>IF(ISBLANK(A51),"",(J51*H51*8)-M51)</f>
        <v/>
      </c>
      <c r="O51" s="272">
        <v>0</v>
      </c>
      <c r="P51" s="273" t="str">
        <f>IF(ISBLANK(A51),"",H51*O51*$B$10)</f>
        <v/>
      </c>
      <c r="Q51" s="317" t="str">
        <f>IF(ISBLANK(A51),"",P51-M51)</f>
        <v/>
      </c>
      <c r="R51" s="318"/>
      <c r="S51" s="314"/>
      <c r="T51" s="284"/>
      <c r="U51" s="284" t="str">
        <f>IF(ISBLANK(A51),"",CONCATENATE(C51,"-",$B$6))</f>
        <v/>
      </c>
      <c r="Y51" s="297"/>
    </row>
    <row r="52" spans="1:148" hidden="1" outlineLevel="1" x14ac:dyDescent="0.2">
      <c r="A52" s="284"/>
      <c r="B52" s="284"/>
      <c r="C52" s="284"/>
      <c r="D52" s="284"/>
      <c r="E52" s="313"/>
      <c r="F52" s="313"/>
      <c r="G52" s="314"/>
      <c r="H52" s="315" t="str">
        <f>IF(ISBLANK(A52),"",NETWORKDAYS(E52,F52)*G52)</f>
        <v/>
      </c>
      <c r="I52" s="316" t="str">
        <f>IF(ISBLANK(A52),"",H52*$B$10)</f>
        <v/>
      </c>
      <c r="J52" s="272">
        <v>0</v>
      </c>
      <c r="K52" s="317" t="str">
        <f>IF(ISBLANK(A52),"",I52*J52)</f>
        <v/>
      </c>
      <c r="L52" s="273">
        <v>0</v>
      </c>
      <c r="M52" s="273" t="str">
        <f>IF(ISBLANK(A52)," ",(L52*H52*$B$10))</f>
        <v xml:space="preserve"> </v>
      </c>
      <c r="N52" s="317" t="str">
        <f>IF(ISBLANK(A52),"",K52-M52)</f>
        <v/>
      </c>
      <c r="O52" s="272">
        <v>0</v>
      </c>
      <c r="P52" s="273" t="str">
        <f>IF(ISBLANK(A52),"",H52*O52*$B$10)</f>
        <v/>
      </c>
      <c r="Q52" s="317" t="str">
        <f>IF(ISBLANK(A52),"",P52-M52)</f>
        <v/>
      </c>
      <c r="R52" s="318"/>
      <c r="S52" s="314"/>
      <c r="T52" s="284"/>
      <c r="U52" s="284" t="str">
        <f>IF(ISBLANK(A52),"",CONCATENATE(C52,"-",$B$6))</f>
        <v/>
      </c>
    </row>
    <row r="53" spans="1:148" hidden="1" outlineLevel="1" x14ac:dyDescent="0.2">
      <c r="A53" s="284"/>
      <c r="B53" s="284"/>
      <c r="C53" s="284"/>
      <c r="D53" s="284"/>
      <c r="E53" s="313"/>
      <c r="F53" s="313"/>
      <c r="G53" s="314"/>
      <c r="H53" s="315" t="str">
        <f>IF(ISBLANK(A53),"",NETWORKDAYS(E53,F53)*G53)</f>
        <v/>
      </c>
      <c r="I53" s="316" t="str">
        <f>IF(ISBLANK(A53),"",H53*$B$10)</f>
        <v/>
      </c>
      <c r="J53" s="272">
        <v>0</v>
      </c>
      <c r="K53" s="317" t="str">
        <f>IF(ISBLANK(A53),"",I53*J53)</f>
        <v/>
      </c>
      <c r="L53" s="273">
        <v>0</v>
      </c>
      <c r="M53" s="273" t="str">
        <f>IF(ISBLANK(A53)," ",(L53*H53*$B$10))</f>
        <v xml:space="preserve"> </v>
      </c>
      <c r="N53" s="317" t="str">
        <f>IF(ISBLANK(A53),"",K53-M53)</f>
        <v/>
      </c>
      <c r="O53" s="272">
        <v>0</v>
      </c>
      <c r="P53" s="273" t="str">
        <f>IF(ISBLANK(A53),"",H53*O53*$B$10)</f>
        <v/>
      </c>
      <c r="Q53" s="317" t="str">
        <f>IF(ISBLANK(A53),"",P53-M53)</f>
        <v/>
      </c>
      <c r="R53" s="318" t="str">
        <f>IF(ISBLANK(A53),"",Q53/P53)</f>
        <v/>
      </c>
      <c r="S53" s="314" t="str">
        <f>IF(ISBLANK(A53),"",1-P53/K53)</f>
        <v/>
      </c>
      <c r="T53" s="284"/>
      <c r="U53" s="284" t="str">
        <f>IF(ISBLANK(A53),"",CONCATENATE(C53,"-",$B$6))</f>
        <v/>
      </c>
    </row>
    <row r="54" spans="1:148" hidden="1" outlineLevel="1" x14ac:dyDescent="0.2">
      <c r="A54" s="284"/>
      <c r="B54" s="284"/>
      <c r="C54" s="284"/>
      <c r="D54" s="284"/>
      <c r="E54" s="313"/>
      <c r="F54" s="313"/>
      <c r="G54" s="314"/>
      <c r="H54" s="315" t="str">
        <f>IF(ISBLANK(A54),"",NETWORKDAYS(E54,F54)*G54)</f>
        <v/>
      </c>
      <c r="I54" s="316" t="str">
        <f>IF(ISBLANK(A54),"",H54*$B$10)</f>
        <v/>
      </c>
      <c r="J54" s="272">
        <v>0</v>
      </c>
      <c r="K54" s="317" t="str">
        <f>IF(ISBLANK(A54),"",I54*J54)</f>
        <v/>
      </c>
      <c r="L54" s="273">
        <v>0</v>
      </c>
      <c r="M54" s="273" t="str">
        <f>IF(ISBLANK(A54)," ",(L54*H54*$B$10))</f>
        <v xml:space="preserve"> </v>
      </c>
      <c r="N54" s="317" t="str">
        <f>IF(ISBLANK(A54),"",K54-M54)</f>
        <v/>
      </c>
      <c r="O54" s="272">
        <v>0</v>
      </c>
      <c r="P54" s="273" t="str">
        <f>IF(ISBLANK(A54),"",H54*O54*$B$10)</f>
        <v/>
      </c>
      <c r="Q54" s="317" t="str">
        <f>IF(ISBLANK(A54),"",P54-M54)</f>
        <v/>
      </c>
      <c r="R54" s="318" t="str">
        <f>IF(ISBLANK(A54),"",Q54/P54)</f>
        <v/>
      </c>
      <c r="S54" s="314" t="str">
        <f>IF(ISBLANK(A54),"",1-P54/K54)</f>
        <v/>
      </c>
      <c r="T54" s="284"/>
      <c r="U54" s="284" t="str">
        <f>IF(ISBLANK(A54),"",CONCATENATE(C54,"-",$B$6))</f>
        <v/>
      </c>
    </row>
    <row r="55" spans="1:148" ht="13.5" hidden="1" outlineLevel="1" thickBot="1" x14ac:dyDescent="0.25">
      <c r="A55" s="321"/>
      <c r="B55" s="321"/>
      <c r="C55" s="321"/>
      <c r="D55" s="321"/>
      <c r="E55" s="322"/>
      <c r="F55" s="322"/>
      <c r="G55" s="323"/>
      <c r="H55" s="324" t="str">
        <f>IF(ISBLANK(A55),"",NETWORKDAYS(E55,F55)*G55)</f>
        <v/>
      </c>
      <c r="I55" s="325" t="str">
        <f>IF(ISBLANK(A55),"",H55*$B$10)</f>
        <v/>
      </c>
      <c r="J55" s="274">
        <v>0</v>
      </c>
      <c r="K55" s="326" t="str">
        <f>IF(ISBLANK(A55),"",I55*J55)</f>
        <v/>
      </c>
      <c r="L55" s="275">
        <v>0</v>
      </c>
      <c r="M55" s="275" t="str">
        <f>IF(ISBLANK(A55)," ",(L55*H55*$B$10))</f>
        <v xml:space="preserve"> </v>
      </c>
      <c r="N55" s="326" t="str">
        <f>IF(ISBLANK(A55),"",K55-M55)</f>
        <v/>
      </c>
      <c r="O55" s="274">
        <v>0</v>
      </c>
      <c r="P55" s="275" t="str">
        <f>IF(ISBLANK(A55),"",H55*O55*$B$10)</f>
        <v/>
      </c>
      <c r="Q55" s="326" t="str">
        <f>IF(ISBLANK(A55),"",P55-M55)</f>
        <v/>
      </c>
      <c r="R55" s="327" t="str">
        <f>IF(ISBLANK(A55),"",Q55/P55)</f>
        <v/>
      </c>
      <c r="S55" s="323" t="str">
        <f>IF(ISBLANK(A55),"",1-P55/K55)</f>
        <v/>
      </c>
      <c r="T55" s="321"/>
      <c r="U55" s="284" t="str">
        <f>IF(ISBLANK(A55),"",CONCATENATE(C55,"-",$B$6))</f>
        <v/>
      </c>
    </row>
    <row r="56" spans="1:148" hidden="1" collapsed="1" x14ac:dyDescent="0.2">
      <c r="A56" s="98" t="s">
        <v>140</v>
      </c>
      <c r="H56" s="341">
        <f>SUM(H51:H55)</f>
        <v>0</v>
      </c>
      <c r="I56" s="341">
        <f>SUM(I51:I55)</f>
        <v>0</v>
      </c>
      <c r="J56" s="269"/>
      <c r="K56" s="343"/>
      <c r="L56" s="332"/>
      <c r="M56" s="343"/>
      <c r="N56" s="343"/>
      <c r="P56" s="343"/>
      <c r="Q56" s="343"/>
      <c r="R56" s="333"/>
      <c r="S56" s="292"/>
    </row>
    <row r="57" spans="1:148" hidden="1" x14ac:dyDescent="0.2">
      <c r="A57" s="98"/>
      <c r="H57" s="341"/>
      <c r="I57" s="342"/>
      <c r="J57" s="269"/>
      <c r="K57" s="344"/>
      <c r="L57" s="332"/>
      <c r="M57" s="343"/>
      <c r="N57" s="343"/>
      <c r="P57" s="344"/>
      <c r="Q57" s="343"/>
      <c r="R57" s="333" t="str">
        <f>IF(H57=0,"",Q57/P57)</f>
        <v/>
      </c>
      <c r="S57" s="292" t="str">
        <f>IF(H57=0,"",1-P57/K57)</f>
        <v/>
      </c>
    </row>
    <row r="58" spans="1:148" s="329" customFormat="1" x14ac:dyDescent="0.2">
      <c r="A58" s="337" t="s">
        <v>16</v>
      </c>
      <c r="I58" s="345"/>
      <c r="J58" s="346"/>
      <c r="K58" s="347"/>
      <c r="L58" s="348"/>
      <c r="M58" s="348">
        <f>INVESTMENT!M58</f>
        <v>0</v>
      </c>
      <c r="N58" s="347"/>
      <c r="O58" s="346"/>
      <c r="P58" s="348">
        <f>IF($B$5="Fixed Price",M58,0)</f>
        <v>0</v>
      </c>
      <c r="Q58" s="347"/>
      <c r="R58" s="349"/>
      <c r="U58" s="284"/>
      <c r="V58" s="284"/>
      <c r="W58" s="284"/>
      <c r="X58" s="284"/>
      <c r="Y58" s="284"/>
      <c r="Z58" s="284"/>
      <c r="AA58" s="284"/>
      <c r="AB58" s="284"/>
      <c r="AC58" s="284"/>
      <c r="AD58" s="284"/>
      <c r="AE58" s="284"/>
      <c r="AF58" s="284"/>
      <c r="AG58" s="284"/>
      <c r="AH58" s="284"/>
      <c r="AI58" s="284"/>
      <c r="AJ58" s="284"/>
      <c r="AK58" s="284"/>
      <c r="AL58" s="284"/>
      <c r="AM58" s="284"/>
      <c r="AN58" s="284"/>
      <c r="AO58" s="284"/>
      <c r="AP58" s="284"/>
      <c r="AQ58" s="284"/>
      <c r="AR58" s="284"/>
      <c r="AS58" s="284"/>
      <c r="AT58" s="284"/>
      <c r="AU58" s="284"/>
      <c r="AV58" s="284"/>
      <c r="AW58" s="284"/>
      <c r="AX58" s="284"/>
      <c r="AY58" s="284"/>
      <c r="AZ58" s="284"/>
      <c r="BA58" s="284"/>
      <c r="BB58" s="284"/>
      <c r="BC58" s="284"/>
      <c r="BD58" s="284"/>
      <c r="BE58" s="284"/>
      <c r="BF58" s="284"/>
      <c r="BG58" s="284"/>
      <c r="BH58" s="284"/>
      <c r="BI58" s="284"/>
      <c r="BJ58" s="284"/>
      <c r="BK58" s="284"/>
      <c r="BL58" s="284"/>
      <c r="BM58" s="284"/>
      <c r="BN58" s="284"/>
      <c r="BO58" s="284"/>
      <c r="BP58" s="284"/>
      <c r="BQ58" s="284"/>
      <c r="BR58" s="284"/>
      <c r="BS58" s="284"/>
      <c r="BT58" s="284"/>
      <c r="BU58" s="284"/>
      <c r="BV58" s="284"/>
      <c r="BW58" s="284"/>
      <c r="BX58" s="284"/>
      <c r="BY58" s="284"/>
      <c r="BZ58" s="284"/>
      <c r="CA58" s="284"/>
      <c r="CB58" s="284"/>
      <c r="CC58" s="284"/>
      <c r="CD58" s="284"/>
      <c r="CE58" s="284"/>
      <c r="CF58" s="284"/>
      <c r="CG58" s="284"/>
      <c r="CH58" s="284"/>
      <c r="CI58" s="284"/>
      <c r="CJ58" s="284"/>
      <c r="CK58" s="284"/>
      <c r="CL58" s="284"/>
      <c r="CM58" s="284"/>
      <c r="CN58" s="284"/>
      <c r="CO58" s="284"/>
      <c r="CP58" s="284"/>
      <c r="CQ58" s="284"/>
      <c r="CR58" s="284"/>
      <c r="CS58" s="284"/>
      <c r="CT58" s="284"/>
      <c r="CU58" s="284"/>
      <c r="CV58" s="284"/>
      <c r="CW58" s="284"/>
      <c r="CX58" s="284"/>
      <c r="CY58" s="284"/>
      <c r="CZ58" s="284"/>
      <c r="DA58" s="284"/>
      <c r="DB58" s="284"/>
      <c r="DC58" s="284"/>
      <c r="DD58" s="284"/>
      <c r="DE58" s="284"/>
      <c r="DF58" s="284"/>
      <c r="DG58" s="284"/>
      <c r="DH58" s="284"/>
      <c r="DI58" s="284"/>
      <c r="DJ58" s="284"/>
      <c r="DK58" s="284"/>
      <c r="DL58" s="284"/>
      <c r="DM58" s="284"/>
      <c r="DN58" s="284"/>
      <c r="DO58" s="284"/>
      <c r="DP58" s="284"/>
      <c r="DQ58" s="284"/>
      <c r="DR58" s="284"/>
      <c r="DS58" s="284"/>
      <c r="DT58" s="284"/>
      <c r="DU58" s="284"/>
      <c r="DV58" s="284"/>
      <c r="DW58" s="284"/>
      <c r="DX58" s="284"/>
      <c r="DY58" s="284"/>
      <c r="DZ58" s="284"/>
      <c r="EA58" s="284"/>
      <c r="EB58" s="284"/>
      <c r="EC58" s="284"/>
      <c r="ED58" s="284"/>
      <c r="EE58" s="284"/>
      <c r="EF58" s="284"/>
      <c r="EG58" s="284"/>
      <c r="EH58" s="284"/>
      <c r="EI58" s="284"/>
      <c r="EJ58" s="284"/>
      <c r="EK58" s="284"/>
      <c r="EL58" s="284"/>
      <c r="EM58" s="284"/>
      <c r="EN58" s="284"/>
      <c r="EO58" s="284"/>
      <c r="EP58" s="284"/>
      <c r="EQ58" s="284"/>
      <c r="ER58" s="284"/>
    </row>
    <row r="59" spans="1:148" ht="15.75" x14ac:dyDescent="0.25">
      <c r="A59" s="350" t="s">
        <v>17</v>
      </c>
      <c r="H59" s="330">
        <f>H48+H56</f>
        <v>0</v>
      </c>
      <c r="I59" s="330">
        <f>I48+I56</f>
        <v>0</v>
      </c>
      <c r="J59" s="269"/>
      <c r="K59" s="331">
        <f>K48</f>
        <v>0</v>
      </c>
      <c r="L59" s="332"/>
      <c r="M59" s="332">
        <f>M48+M58</f>
        <v>0</v>
      </c>
      <c r="N59" s="331">
        <f>N48</f>
        <v>0</v>
      </c>
      <c r="P59" s="332">
        <f>P48+P58</f>
        <v>0</v>
      </c>
      <c r="Q59" s="331">
        <f>INVESTMENT!Q59</f>
        <v>0</v>
      </c>
      <c r="R59" s="333">
        <f>INVESTMENT!R59</f>
        <v>0</v>
      </c>
      <c r="S59" s="292">
        <f>INVESTMENT!S59</f>
        <v>1</v>
      </c>
    </row>
    <row r="60" spans="1:148" ht="4.5" customHeight="1" thickBot="1" x14ac:dyDescent="0.25">
      <c r="J60" s="269"/>
      <c r="K60" s="331"/>
      <c r="L60" s="332"/>
      <c r="M60" s="332"/>
      <c r="N60" s="331"/>
      <c r="P60" s="332"/>
      <c r="Q60" s="331"/>
    </row>
    <row r="61" spans="1:148" ht="15.75" customHeight="1" thickBot="1" x14ac:dyDescent="0.3">
      <c r="A61" s="276" t="s">
        <v>60</v>
      </c>
      <c r="B61" s="277"/>
      <c r="C61" s="277"/>
      <c r="D61" s="277"/>
      <c r="E61" s="277"/>
      <c r="F61" s="277"/>
      <c r="G61" s="277"/>
      <c r="H61" s="278"/>
      <c r="I61" s="279"/>
      <c r="J61" s="280"/>
      <c r="K61" s="281"/>
      <c r="L61" s="282"/>
      <c r="M61" s="282"/>
      <c r="N61" s="281"/>
      <c r="O61" s="280"/>
      <c r="P61" s="282">
        <f>INVESTMENT!P61</f>
        <v>0</v>
      </c>
      <c r="Q61" s="281">
        <f>INVESTMENT!Q61</f>
        <v>0</v>
      </c>
      <c r="R61" s="351">
        <f>INVESTMENT!R61</f>
        <v>0</v>
      </c>
      <c r="S61" s="352">
        <f>INVESTMENT!S61</f>
        <v>1</v>
      </c>
    </row>
    <row r="62" spans="1:148" ht="6" customHeight="1" x14ac:dyDescent="0.2">
      <c r="J62" s="269"/>
      <c r="K62" s="331"/>
      <c r="L62" s="332"/>
      <c r="M62" s="332"/>
      <c r="N62" s="331"/>
      <c r="P62" s="332"/>
      <c r="Q62" s="331"/>
    </row>
    <row r="63" spans="1:148" outlineLevel="1" x14ac:dyDescent="0.2">
      <c r="A63" s="264" t="str">
        <f>IF($B$9="Estimate","Low Estimate","")</f>
        <v/>
      </c>
      <c r="H63" s="330">
        <f>INVESTMENT!H63</f>
        <v>0</v>
      </c>
      <c r="I63" s="330">
        <f>INVESTMENT!I63</f>
        <v>0</v>
      </c>
      <c r="J63" s="269"/>
      <c r="K63" s="331">
        <f>INVESTMENT!K63</f>
        <v>0</v>
      </c>
      <c r="L63" s="332"/>
      <c r="M63" s="331">
        <f>INVESTMENT!M63</f>
        <v>0</v>
      </c>
      <c r="N63" s="331">
        <f>INVESTMENT!N63</f>
        <v>0</v>
      </c>
      <c r="O63" s="291"/>
      <c r="P63" s="332">
        <f>INVESTMENT!P63</f>
        <v>0</v>
      </c>
      <c r="Q63" s="331">
        <f>INVESTMENT!Q63</f>
        <v>0</v>
      </c>
      <c r="R63" s="333">
        <f>INVESTMENT!R63</f>
        <v>0</v>
      </c>
      <c r="S63" s="292"/>
    </row>
    <row r="64" spans="1:148" outlineLevel="1" x14ac:dyDescent="0.2">
      <c r="A64" s="264" t="str">
        <f>IF($B$9="Estimate","High Estimate","")</f>
        <v/>
      </c>
      <c r="H64" s="330">
        <f>INVESTMENT!H64</f>
        <v>0</v>
      </c>
      <c r="I64" s="330">
        <f>INVESTMENT!I64</f>
        <v>0</v>
      </c>
      <c r="J64" s="269"/>
      <c r="K64" s="331">
        <f>INVESTMENT!K64</f>
        <v>0</v>
      </c>
      <c r="L64" s="332"/>
      <c r="M64" s="331">
        <f>INVESTMENT!M64</f>
        <v>0</v>
      </c>
      <c r="N64" s="331">
        <f>INVESTMENT!N64</f>
        <v>0</v>
      </c>
      <c r="O64" s="291"/>
      <c r="P64" s="332">
        <f>INVESTMENT!P64</f>
        <v>0</v>
      </c>
      <c r="Q64" s="331">
        <f>INVESTMENT!Q64</f>
        <v>0</v>
      </c>
      <c r="R64" s="333">
        <f>INVESTMENT!R64</f>
        <v>0</v>
      </c>
      <c r="S64" s="292"/>
    </row>
    <row r="65" spans="10:10" x14ac:dyDescent="0.2">
      <c r="J65" s="269"/>
    </row>
  </sheetData>
  <sheetProtection sheet="1" objects="1" scenarios="1" sort="0" autoFilter="0" pivotTables="0"/>
  <mergeCells count="1">
    <mergeCell ref="A32:B32"/>
  </mergeCells>
  <dataValidations count="9">
    <dataValidation type="decimal" allowBlank="1" showInputMessage="1" showErrorMessage="1" sqref="G36:G42" xr:uid="{00000000-0002-0000-0100-000000000000}">
      <formula1>0</formula1>
      <formula2>9</formula2>
    </dataValidation>
    <dataValidation type="list" allowBlank="1" showInputMessage="1" showErrorMessage="1" sqref="C36:C42 C15:C31" xr:uid="{00000000-0002-0000-0100-000001000000}">
      <formula1>"APAC, EU, NA, SELECT ONE, ERROR"</formula1>
    </dataValidation>
    <dataValidation type="list" allowBlank="1" showInputMessage="1" showErrorMessage="1" sqref="B5" xr:uid="{00000000-0002-0000-0100-000002000000}">
      <formula1>"T&amp;M, Fixed Price, NSC, SELECT ONE"</formula1>
    </dataValidation>
    <dataValidation type="date" operator="greaterThanOrEqual" allowBlank="1" showInputMessage="1" showErrorMessage="1" sqref="E51:E52 E36:F36 E53:F55 E15:F30" xr:uid="{00000000-0002-0000-0100-000003000000}">
      <formula1>38353</formula1>
    </dataValidation>
    <dataValidation type="whole" showInputMessage="1" showErrorMessage="1" sqref="B10:D10" xr:uid="{00000000-0002-0000-0100-000004000000}">
      <formula1>8</formula1>
      <formula2>9</formula2>
    </dataValidation>
    <dataValidation type="date" operator="greaterThan" allowBlank="1" showInputMessage="1" showErrorMessage="1" sqref="F51:F52" xr:uid="{00000000-0002-0000-0100-000005000000}">
      <formula1>38353</formula1>
    </dataValidation>
    <dataValidation type="list" showInputMessage="1" showErrorMessage="1" sqref="C5:D5" xr:uid="{00000000-0002-0000-0100-000006000000}">
      <formula1>"T&amp;M, Fixed Price, SELECT ONE"</formula1>
    </dataValidation>
    <dataValidation type="list" showInputMessage="1" showErrorMessage="1" sqref="C9:D9" xr:uid="{00000000-0002-0000-0100-000007000000}">
      <formula1>"Quote, Estimate, SELECT ONE"</formula1>
    </dataValidation>
    <dataValidation type="decimal" allowBlank="1" showInputMessage="1" showErrorMessage="1" sqref="G51" xr:uid="{00000000-0002-0000-0100-000008000000}">
      <formula1>0</formula1>
      <formula2>1</formula2>
    </dataValidation>
  </dataValidations>
  <pageMargins left="0.75" right="0.75" top="1" bottom="1" header="0.5" footer="0.5"/>
  <pageSetup scale="57" fitToHeight="5" orientation="landscape" r:id="rId1"/>
  <headerFooter alignWithMargins="0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3">
    <tabColor rgb="FF92D050"/>
    <pageSetUpPr fitToPage="1"/>
  </sheetPr>
  <dimension ref="A1:ER90"/>
  <sheetViews>
    <sheetView workbookViewId="0">
      <pane xSplit="2" ySplit="13" topLeftCell="C14" activePane="bottomRight" state="frozen"/>
      <selection activeCell="A5" sqref="A5:B10"/>
      <selection pane="topRight" activeCell="A5" sqref="A5:B10"/>
      <selection pane="bottomLeft" activeCell="A5" sqref="A5:B10"/>
      <selection pane="bottomRight" activeCell="G22" sqref="G22"/>
    </sheetView>
  </sheetViews>
  <sheetFormatPr defaultColWidth="9.33203125" defaultRowHeight="12.75" outlineLevelRow="1" x14ac:dyDescent="0.2"/>
  <cols>
    <col min="1" max="1" width="30.33203125" style="126" customWidth="1"/>
    <col min="2" max="2" width="15.1640625" style="126" customWidth="1"/>
    <col min="3" max="3" width="0.5" style="126" customWidth="1"/>
    <col min="4" max="4" width="15.1640625" style="126" customWidth="1"/>
    <col min="5" max="5" width="10.5" style="126" customWidth="1"/>
    <col min="6" max="6" width="10.83203125" style="126" customWidth="1"/>
    <col min="7" max="7" width="13" style="126" customWidth="1"/>
    <col min="8" max="8" width="11" style="126" customWidth="1"/>
    <col min="9" max="9" width="11" style="219" customWidth="1"/>
    <col min="10" max="10" width="12.83203125" style="126" customWidth="1"/>
    <col min="11" max="11" width="15" style="126" customWidth="1"/>
    <col min="12" max="12" width="12.33203125" style="377" customWidth="1"/>
    <col min="13" max="13" width="11.5" style="377" customWidth="1"/>
    <col min="14" max="14" width="11.5" style="126" customWidth="1"/>
    <col min="15" max="15" width="10.83203125" style="33" customWidth="1"/>
    <col min="16" max="16" width="14.1640625" style="377" customWidth="1"/>
    <col min="17" max="17" width="11.5" style="126" customWidth="1"/>
    <col min="18" max="18" width="10" style="126" customWidth="1"/>
    <col min="19" max="19" width="11.1640625" style="126" customWidth="1"/>
    <col min="20" max="20" width="9.33203125" style="378"/>
    <col min="21" max="21" width="9.33203125" style="379" hidden="1" customWidth="1"/>
    <col min="22" max="22" width="9.33203125" style="380"/>
    <col min="23" max="23" width="27.6640625" style="96" customWidth="1"/>
    <col min="24" max="24" width="12.1640625" style="96" customWidth="1"/>
    <col min="25" max="25" width="28.1640625" style="96" hidden="1" customWidth="1"/>
    <col min="26" max="148" width="9.33203125" style="96"/>
    <col min="149" max="16384" width="9.33203125" style="126"/>
  </cols>
  <sheetData>
    <row r="1" spans="1:148" x14ac:dyDescent="0.2">
      <c r="A1" s="126" t="s">
        <v>0</v>
      </c>
      <c r="B1" s="138" t="str">
        <f>BID!B1</f>
        <v>Cox</v>
      </c>
      <c r="C1" s="137"/>
      <c r="D1" s="137"/>
    </row>
    <row r="2" spans="1:148" x14ac:dyDescent="0.2">
      <c r="A2" s="126" t="s">
        <v>157</v>
      </c>
      <c r="B2" s="138" t="str">
        <f>BID!B2</f>
        <v>ECR WITHOUT MEETING</v>
      </c>
      <c r="C2" s="137"/>
      <c r="D2" s="137"/>
      <c r="W2" s="381"/>
      <c r="Y2" s="96" t="s">
        <v>93</v>
      </c>
    </row>
    <row r="3" spans="1:148" x14ac:dyDescent="0.2">
      <c r="A3" s="126" t="s">
        <v>252</v>
      </c>
      <c r="B3" s="138" t="str">
        <f>BID!B3</f>
        <v>SPRINTS</v>
      </c>
      <c r="W3" s="381"/>
      <c r="Y3" s="96" t="s">
        <v>94</v>
      </c>
    </row>
    <row r="4" spans="1:148" x14ac:dyDescent="0.2">
      <c r="A4" s="126" t="s">
        <v>3</v>
      </c>
      <c r="B4" s="138" t="str">
        <f>BID!B4</f>
        <v>T&amp;M</v>
      </c>
      <c r="C4" s="138"/>
      <c r="D4" s="138"/>
      <c r="W4" s="381"/>
      <c r="Y4" s="96" t="s">
        <v>162</v>
      </c>
    </row>
    <row r="5" spans="1:148" x14ac:dyDescent="0.2">
      <c r="A5" s="126" t="s">
        <v>144</v>
      </c>
      <c r="B5" s="98" t="str">
        <f>BID!B5</f>
        <v>NA</v>
      </c>
      <c r="C5" s="98"/>
      <c r="D5" s="98"/>
      <c r="H5" s="382" t="str">
        <f>IF(AND(P59&gt;0,P61=0),"Enter Total Price in N43"," ")</f>
        <v xml:space="preserve"> </v>
      </c>
      <c r="W5" s="381"/>
      <c r="Y5" s="96" t="s">
        <v>95</v>
      </c>
    </row>
    <row r="6" spans="1:148" x14ac:dyDescent="0.2">
      <c r="A6" s="126" t="s">
        <v>4</v>
      </c>
      <c r="B6" s="139">
        <f>BID!B6</f>
        <v>43009</v>
      </c>
      <c r="C6" s="139"/>
      <c r="D6" s="139"/>
      <c r="E6" s="383" t="str">
        <f>IF(B6&gt;MIN(E14:E42),"Staffing Starts before this date!",IF(B6&lt;MIN(E14:E42),"No staffing on start date!",""))</f>
        <v/>
      </c>
      <c r="F6" s="29"/>
      <c r="G6" s="29"/>
      <c r="H6" s="29"/>
      <c r="I6" s="148"/>
      <c r="J6" s="29"/>
      <c r="K6" s="29"/>
      <c r="L6" s="384"/>
      <c r="M6" s="384"/>
      <c r="N6" s="29"/>
      <c r="O6" s="385"/>
      <c r="P6" s="384"/>
      <c r="W6" s="381"/>
      <c r="Y6" s="96" t="s">
        <v>96</v>
      </c>
    </row>
    <row r="7" spans="1:148" x14ac:dyDescent="0.2">
      <c r="A7" s="126" t="s">
        <v>5</v>
      </c>
      <c r="B7" s="139">
        <f>BID!B7</f>
        <v>43428</v>
      </c>
      <c r="C7" s="139"/>
      <c r="D7" s="139"/>
      <c r="E7" s="383" t="str">
        <f>IF(B7&gt;MAX(F14:F42),"Staffing ends before project end date!",IF(B7&lt;MAX(F14:F42),"Staffing continues after end date!",""))</f>
        <v/>
      </c>
      <c r="F7" s="29"/>
      <c r="G7" s="29"/>
      <c r="H7" s="29"/>
      <c r="I7" s="148"/>
      <c r="J7" s="29"/>
      <c r="K7" s="29"/>
      <c r="L7" s="384"/>
      <c r="M7" s="384"/>
      <c r="N7" s="29"/>
      <c r="O7" s="385"/>
      <c r="P7" s="384"/>
      <c r="W7" s="381"/>
      <c r="Y7" s="96" t="s">
        <v>97</v>
      </c>
    </row>
    <row r="8" spans="1:148" x14ac:dyDescent="0.2">
      <c r="A8" s="126" t="s">
        <v>6</v>
      </c>
      <c r="B8" s="139" t="str">
        <f>BID!B8</f>
        <v>Quote</v>
      </c>
      <c r="C8" s="138"/>
      <c r="D8" s="138"/>
      <c r="F8" s="126" t="s">
        <v>153</v>
      </c>
      <c r="G8" s="386">
        <v>0.05</v>
      </c>
      <c r="W8" s="381"/>
      <c r="Y8" s="96" t="s">
        <v>145</v>
      </c>
    </row>
    <row r="9" spans="1:148" x14ac:dyDescent="0.2">
      <c r="A9" s="126" t="s">
        <v>79</v>
      </c>
      <c r="B9" s="400">
        <f>BID!B9</f>
        <v>8</v>
      </c>
      <c r="C9" s="140"/>
      <c r="D9" s="140"/>
      <c r="F9" s="126" t="s">
        <v>152</v>
      </c>
      <c r="G9" s="386">
        <v>0.2</v>
      </c>
      <c r="W9" s="381"/>
      <c r="Y9" s="96" t="s">
        <v>163</v>
      </c>
    </row>
    <row r="10" spans="1:148" x14ac:dyDescent="0.2">
      <c r="A10" s="126" t="s">
        <v>70</v>
      </c>
      <c r="B10" s="150" t="str">
        <f>IF(ISBLANK(Summary!B14),"SELECT ONE",Summary!B14)</f>
        <v>USD</v>
      </c>
      <c r="Y10" s="96" t="s">
        <v>98</v>
      </c>
    </row>
    <row r="11" spans="1:148" x14ac:dyDescent="0.2">
      <c r="G11" s="57"/>
      <c r="H11" s="387"/>
      <c r="Y11" s="96" t="s">
        <v>99</v>
      </c>
    </row>
    <row r="12" spans="1:148" x14ac:dyDescent="0.2">
      <c r="A12" s="387"/>
      <c r="B12" s="387"/>
      <c r="C12" s="387"/>
      <c r="D12" s="387"/>
      <c r="E12" s="57"/>
      <c r="F12" s="57"/>
      <c r="G12" s="57"/>
      <c r="H12" s="388"/>
      <c r="I12" s="389"/>
      <c r="J12" s="388"/>
      <c r="K12" s="388"/>
      <c r="L12" s="390"/>
      <c r="M12" s="390"/>
      <c r="N12" s="388"/>
      <c r="O12" s="391" t="s">
        <v>80</v>
      </c>
      <c r="P12" s="390"/>
      <c r="Q12" s="388"/>
      <c r="R12" s="388"/>
      <c r="S12" s="388"/>
      <c r="Y12" s="96" t="s">
        <v>100</v>
      </c>
    </row>
    <row r="13" spans="1:148" s="387" customFormat="1" x14ac:dyDescent="0.2">
      <c r="A13" s="392" t="s">
        <v>52</v>
      </c>
      <c r="B13" s="392" t="s">
        <v>251</v>
      </c>
      <c r="C13" s="392" t="s">
        <v>91</v>
      </c>
      <c r="D13" s="392" t="s">
        <v>249</v>
      </c>
      <c r="E13" s="393" t="s">
        <v>54</v>
      </c>
      <c r="F13" s="393" t="s">
        <v>55</v>
      </c>
      <c r="G13" s="393" t="s">
        <v>7</v>
      </c>
      <c r="H13" s="393" t="s">
        <v>20</v>
      </c>
      <c r="I13" s="394" t="s">
        <v>78</v>
      </c>
      <c r="J13" s="40" t="s">
        <v>10</v>
      </c>
      <c r="K13" s="393" t="s">
        <v>56</v>
      </c>
      <c r="L13" s="202" t="s">
        <v>57</v>
      </c>
      <c r="M13" s="395" t="s">
        <v>31</v>
      </c>
      <c r="N13" s="393" t="s">
        <v>21</v>
      </c>
      <c r="O13" s="40" t="s">
        <v>22</v>
      </c>
      <c r="P13" s="395" t="s">
        <v>58</v>
      </c>
      <c r="Q13" s="393" t="s">
        <v>32</v>
      </c>
      <c r="R13" s="393" t="s">
        <v>23</v>
      </c>
      <c r="S13" s="393" t="s">
        <v>24</v>
      </c>
      <c r="T13" s="396"/>
      <c r="U13" s="397"/>
      <c r="V13" s="398"/>
      <c r="W13" s="399"/>
      <c r="X13" s="399"/>
      <c r="Y13" s="96" t="s">
        <v>137</v>
      </c>
      <c r="Z13" s="399"/>
      <c r="AA13" s="399"/>
      <c r="AB13" s="399"/>
      <c r="AC13" s="399"/>
      <c r="AD13" s="399"/>
      <c r="AE13" s="399"/>
      <c r="AF13" s="399"/>
      <c r="AG13" s="399"/>
      <c r="AH13" s="399"/>
      <c r="AI13" s="399"/>
      <c r="AJ13" s="399"/>
      <c r="AK13" s="399"/>
      <c r="AL13" s="399"/>
      <c r="AM13" s="399"/>
      <c r="AN13" s="399"/>
      <c r="AO13" s="399"/>
      <c r="AP13" s="399"/>
      <c r="AQ13" s="399"/>
      <c r="AR13" s="399"/>
      <c r="AS13" s="399"/>
      <c r="AT13" s="399"/>
      <c r="AU13" s="399"/>
      <c r="AV13" s="399"/>
      <c r="AW13" s="399"/>
      <c r="AX13" s="399"/>
      <c r="AY13" s="399"/>
      <c r="AZ13" s="399"/>
      <c r="BA13" s="399"/>
      <c r="BB13" s="399"/>
      <c r="BC13" s="399"/>
      <c r="BD13" s="399"/>
      <c r="BE13" s="399"/>
      <c r="BF13" s="399"/>
      <c r="BG13" s="399"/>
      <c r="BH13" s="399"/>
      <c r="BI13" s="399"/>
      <c r="BJ13" s="399"/>
      <c r="BK13" s="399"/>
      <c r="BL13" s="399"/>
      <c r="BM13" s="399"/>
      <c r="BN13" s="399"/>
      <c r="BO13" s="399"/>
      <c r="BP13" s="399"/>
      <c r="BQ13" s="399"/>
      <c r="BR13" s="399"/>
      <c r="BS13" s="399"/>
      <c r="BT13" s="399"/>
      <c r="BU13" s="399"/>
      <c r="BV13" s="399"/>
      <c r="BW13" s="399"/>
      <c r="BX13" s="399"/>
      <c r="BY13" s="399"/>
      <c r="BZ13" s="399"/>
      <c r="CA13" s="399"/>
      <c r="CB13" s="399"/>
      <c r="CC13" s="399"/>
      <c r="CD13" s="399"/>
      <c r="CE13" s="399"/>
      <c r="CF13" s="399"/>
      <c r="CG13" s="399"/>
      <c r="CH13" s="399"/>
      <c r="CI13" s="399"/>
      <c r="CJ13" s="399"/>
      <c r="CK13" s="399"/>
      <c r="CL13" s="399"/>
      <c r="CM13" s="399"/>
      <c r="CN13" s="399"/>
      <c r="CO13" s="399"/>
      <c r="CP13" s="399"/>
      <c r="CQ13" s="399"/>
      <c r="CR13" s="399"/>
      <c r="CS13" s="399"/>
      <c r="CT13" s="399"/>
      <c r="CU13" s="399"/>
      <c r="CV13" s="399"/>
      <c r="CW13" s="399"/>
      <c r="CX13" s="399"/>
      <c r="CY13" s="399"/>
      <c r="CZ13" s="399"/>
      <c r="DA13" s="399"/>
      <c r="DB13" s="399"/>
      <c r="DC13" s="399"/>
      <c r="DD13" s="399"/>
      <c r="DE13" s="399"/>
      <c r="DF13" s="399"/>
      <c r="DG13" s="399"/>
      <c r="DH13" s="399"/>
      <c r="DI13" s="399"/>
      <c r="DJ13" s="399"/>
      <c r="DK13" s="399"/>
      <c r="DL13" s="399"/>
      <c r="DM13" s="399"/>
      <c r="DN13" s="399"/>
      <c r="DO13" s="399"/>
      <c r="DP13" s="399"/>
      <c r="DQ13" s="399"/>
      <c r="DR13" s="399"/>
      <c r="DS13" s="399"/>
      <c r="DT13" s="399"/>
      <c r="DU13" s="399"/>
      <c r="DV13" s="399"/>
      <c r="DW13" s="399"/>
      <c r="DX13" s="399"/>
      <c r="DY13" s="399"/>
      <c r="DZ13" s="399"/>
      <c r="EA13" s="399"/>
      <c r="EB13" s="399"/>
      <c r="EC13" s="399"/>
      <c r="ED13" s="399"/>
      <c r="EE13" s="399"/>
      <c r="EF13" s="399"/>
      <c r="EG13" s="399"/>
      <c r="EH13" s="399"/>
      <c r="EI13" s="399"/>
      <c r="EJ13" s="399"/>
      <c r="EK13" s="399"/>
      <c r="EL13" s="399"/>
      <c r="EM13" s="399"/>
      <c r="EN13" s="399"/>
      <c r="EO13" s="399"/>
      <c r="EP13" s="399"/>
      <c r="EQ13" s="399"/>
      <c r="ER13" s="399"/>
    </row>
    <row r="14" spans="1:148" outlineLevel="1" x14ac:dyDescent="0.2">
      <c r="A14" s="190" t="str">
        <f>IF(BID!A14="","",BID!A14)</f>
        <v>PL</v>
      </c>
      <c r="B14" s="190" t="str">
        <f>IF(BID!B14="","",BID!B14)</f>
        <v/>
      </c>
      <c r="C14" s="137"/>
      <c r="D14" s="400">
        <f>IF(BID!D14="","",BID!D14)</f>
        <v>1</v>
      </c>
      <c r="E14" s="401">
        <f>IF(BID!E14="","",BID!E14)</f>
        <v>43009</v>
      </c>
      <c r="F14" s="401">
        <f>IF(BID!F14="","",BID!F14)</f>
        <v>43427</v>
      </c>
      <c r="G14" s="402">
        <f>IF(BID!G14="","",BID!G14)</f>
        <v>1</v>
      </c>
      <c r="H14" s="403">
        <f>IF(BID!H14="","",BID!H14)</f>
        <v>300</v>
      </c>
      <c r="I14" s="403">
        <f>IF(BID!I14="","",BID!I14)</f>
        <v>2400</v>
      </c>
      <c r="J14" s="403">
        <f>IF(BID!J14="","",BID!J14)</f>
        <v>355</v>
      </c>
      <c r="K14" s="404">
        <f>IF(BID!K14="","",BID!K14)</f>
        <v>852000</v>
      </c>
      <c r="L14" s="217">
        <f>IF(BID!L14="","",BID!L14)</f>
        <v>180</v>
      </c>
      <c r="M14" s="404">
        <f>IF(BID!M14="","",BID!M14)</f>
        <v>432000</v>
      </c>
      <c r="N14" s="404">
        <f>IF(BID!N14="","",BID!N14)</f>
        <v>420000</v>
      </c>
      <c r="O14" s="217">
        <f>IF(BID!O14="","",BID!O14)</f>
        <v>190</v>
      </c>
      <c r="P14" s="404">
        <f>IF(BID!P14="","",BID!P14)</f>
        <v>456000</v>
      </c>
      <c r="Q14" s="404">
        <f>IF(BID!Q14="","",BID!Q14)</f>
        <v>24000</v>
      </c>
      <c r="R14" s="405">
        <f>IF(BID!R14="","",BID!R14)</f>
        <v>5.2631578947368418E-2</v>
      </c>
      <c r="S14" s="406">
        <f>IF(BID!S14="","",BID!S14)</f>
        <v>0.46478873239436624</v>
      </c>
      <c r="T14" s="407">
        <f>IF(ISBLANK(A14),"",VLOOKUP(A14,gsrates!$A$3:$AR$39,38,FALSE))</f>
        <v>300</v>
      </c>
      <c r="U14" s="379" t="str">
        <f t="shared" ref="U14:U31" si="0">IF(ISBLANK(A14),"",CONCATENATE(C14,"-",$B$5))</f>
        <v>-NA</v>
      </c>
      <c r="V14" s="380">
        <f>IF(T14=1,I14,0)</f>
        <v>0</v>
      </c>
      <c r="Y14" s="96" t="s">
        <v>155</v>
      </c>
    </row>
    <row r="15" spans="1:148" outlineLevel="1" x14ac:dyDescent="0.2">
      <c r="A15" s="190" t="str">
        <f>IF(BID!A15="","",BID!A15)</f>
        <v>LSA</v>
      </c>
      <c r="B15" s="190" t="str">
        <f>IF(BID!B15="","",BID!B15)</f>
        <v/>
      </c>
      <c r="C15" s="137"/>
      <c r="D15" s="400">
        <f>IF(BID!D15="","",BID!D15)</f>
        <v>2</v>
      </c>
      <c r="E15" s="401">
        <f>IF(BID!E15="","",BID!E15)</f>
        <v>43010</v>
      </c>
      <c r="F15" s="401">
        <f>IF(BID!F15="","",BID!F15)</f>
        <v>43428</v>
      </c>
      <c r="G15" s="402">
        <f>IF(BID!G15="","",BID!G15)</f>
        <v>1</v>
      </c>
      <c r="H15" s="403">
        <f>IF(BID!H15="","",BID!H15)</f>
        <v>600</v>
      </c>
      <c r="I15" s="403">
        <f>IF(BID!I15="","",BID!I15)</f>
        <v>4800</v>
      </c>
      <c r="J15" s="403">
        <f>IF(BID!J15="","",BID!J15)</f>
        <v>325</v>
      </c>
      <c r="K15" s="404">
        <f>IF(BID!K15="","",BID!K15)</f>
        <v>1560000</v>
      </c>
      <c r="L15" s="217">
        <f>IF(BID!L15="","",BID!L15)</f>
        <v>116</v>
      </c>
      <c r="M15" s="404">
        <f>IF(BID!M15="","",BID!M15)</f>
        <v>556800</v>
      </c>
      <c r="N15" s="404">
        <f>IF(BID!N15="","",BID!N15)</f>
        <v>1003200</v>
      </c>
      <c r="O15" s="217">
        <f>IF(BID!O15="","",BID!O15)</f>
        <v>120</v>
      </c>
      <c r="P15" s="404">
        <f>IF(BID!P15="","",BID!P15)</f>
        <v>576000</v>
      </c>
      <c r="Q15" s="404">
        <f>IF(BID!Q15="","",BID!Q15)</f>
        <v>19200</v>
      </c>
      <c r="R15" s="405">
        <f>IF(BID!R15="","",BID!R15)</f>
        <v>3.3333333333333333E-2</v>
      </c>
      <c r="S15" s="406">
        <f>IF(BID!S15="","",BID!S15)</f>
        <v>0.63076923076923075</v>
      </c>
      <c r="T15" s="407">
        <f>IF(ISBLANK(A15),"",VLOOKUP(A15,gsrates!$A$3:$AR$39,38,FALSE))</f>
        <v>225</v>
      </c>
      <c r="V15" s="380">
        <f t="shared" ref="V15:V22" si="1">IF(T15=1,I15,0)</f>
        <v>0</v>
      </c>
    </row>
    <row r="16" spans="1:148" outlineLevel="1" x14ac:dyDescent="0.2">
      <c r="A16" s="190" t="str">
        <f>IF(BID!A16="","",BID!A16)</f>
        <v/>
      </c>
      <c r="B16" s="190" t="str">
        <f>IF(BID!B16="","",BID!B16)</f>
        <v/>
      </c>
      <c r="C16" s="137"/>
      <c r="D16" s="400" t="str">
        <f>IF(BID!D16="","",BID!D16)</f>
        <v/>
      </c>
      <c r="E16" s="401" t="str">
        <f>IF(BID!E16="","",BID!E16)</f>
        <v/>
      </c>
      <c r="F16" s="401" t="str">
        <f>IF(BID!F16="","",BID!F16)</f>
        <v/>
      </c>
      <c r="G16" s="402" t="str">
        <f>IF(BID!G16="","",BID!G16)</f>
        <v/>
      </c>
      <c r="H16" s="403" t="str">
        <f>IF(BID!H16="","",BID!H16)</f>
        <v/>
      </c>
      <c r="I16" s="403" t="str">
        <f>IF(BID!I16="","",BID!I16)</f>
        <v/>
      </c>
      <c r="J16" s="403" t="str">
        <f>IF(BID!J16="","",BID!J16)</f>
        <v/>
      </c>
      <c r="K16" s="404" t="str">
        <f>IF(BID!K16="","",BID!K16)</f>
        <v/>
      </c>
      <c r="L16" s="217" t="str">
        <f>IF(BID!L16="","",BID!L16)</f>
        <v/>
      </c>
      <c r="M16" s="404" t="str">
        <f>IF(BID!M16="","",BID!M16)</f>
        <v/>
      </c>
      <c r="N16" s="404" t="str">
        <f>IF(BID!N16="","",BID!N16)</f>
        <v/>
      </c>
      <c r="O16" s="217">
        <f>IF(BID!O16="","",BID!O16)</f>
        <v>0</v>
      </c>
      <c r="P16" s="404" t="str">
        <f>IF(BID!P16="","",BID!P16)</f>
        <v/>
      </c>
      <c r="Q16" s="404" t="str">
        <f>IF(BID!Q16="","",BID!Q16)</f>
        <v/>
      </c>
      <c r="R16" s="405" t="str">
        <f>IF(BID!R16="","",BID!R16)</f>
        <v/>
      </c>
      <c r="S16" s="406" t="str">
        <f>IF(BID!S16="","",BID!S16)</f>
        <v/>
      </c>
      <c r="T16" s="407" t="e">
        <f>IF(ISBLANK(A16),"",VLOOKUP(A16,gsrates!$A$3:$AR$39,38,FALSE))</f>
        <v>#N/A</v>
      </c>
      <c r="V16" s="380" t="e">
        <f t="shared" si="1"/>
        <v>#N/A</v>
      </c>
    </row>
    <row r="17" spans="1:148" outlineLevel="1" x14ac:dyDescent="0.2">
      <c r="A17" s="190" t="str">
        <f>IF(BID!A17="","",BID!A17)</f>
        <v/>
      </c>
      <c r="B17" s="190" t="str">
        <f>IF(BID!B17="","",BID!B17)</f>
        <v/>
      </c>
      <c r="C17" s="137"/>
      <c r="D17" s="400" t="str">
        <f>IF(BID!D17="","",BID!D17)</f>
        <v/>
      </c>
      <c r="E17" s="401" t="str">
        <f>IF(BID!E17="","",BID!E17)</f>
        <v/>
      </c>
      <c r="F17" s="401" t="str">
        <f>IF(BID!F17="","",BID!F17)</f>
        <v/>
      </c>
      <c r="G17" s="402" t="str">
        <f>IF(BID!G17="","",BID!G17)</f>
        <v/>
      </c>
      <c r="H17" s="403" t="str">
        <f>IF(BID!H17="","",BID!H17)</f>
        <v/>
      </c>
      <c r="I17" s="403" t="str">
        <f>IF(BID!I17="","",BID!I17)</f>
        <v/>
      </c>
      <c r="J17" s="403" t="str">
        <f>IF(BID!J17="","",BID!J17)</f>
        <v/>
      </c>
      <c r="K17" s="404" t="str">
        <f>IF(BID!K17="","",BID!K17)</f>
        <v/>
      </c>
      <c r="L17" s="217" t="str">
        <f>IF(BID!L17="","",BID!L17)</f>
        <v/>
      </c>
      <c r="M17" s="404" t="str">
        <f>IF(BID!M17="","",BID!M17)</f>
        <v/>
      </c>
      <c r="N17" s="404" t="str">
        <f>IF(BID!N17="","",BID!N17)</f>
        <v/>
      </c>
      <c r="O17" s="217">
        <f>IF(BID!O17="","",BID!O17)</f>
        <v>0</v>
      </c>
      <c r="P17" s="404" t="str">
        <f>IF(BID!P17="","",BID!P17)</f>
        <v/>
      </c>
      <c r="Q17" s="404" t="str">
        <f>IF(BID!Q17="","",BID!Q17)</f>
        <v/>
      </c>
      <c r="R17" s="405" t="str">
        <f>IF(BID!R17="","",BID!R17)</f>
        <v/>
      </c>
      <c r="S17" s="406" t="str">
        <f>IF(BID!S17="","",BID!S17)</f>
        <v/>
      </c>
      <c r="T17" s="407" t="e">
        <f>IF(ISBLANK(A17),"",VLOOKUP(A17,gsrates!$A$3:$AR$39,38,FALSE))</f>
        <v>#N/A</v>
      </c>
      <c r="V17" s="380" t="e">
        <f t="shared" si="1"/>
        <v>#N/A</v>
      </c>
    </row>
    <row r="18" spans="1:148" outlineLevel="1" x14ac:dyDescent="0.2">
      <c r="A18" s="190" t="str">
        <f>IF(BID!A18="","",BID!A18)</f>
        <v/>
      </c>
      <c r="B18" s="190" t="str">
        <f>IF(BID!B18="","",BID!B18)</f>
        <v/>
      </c>
      <c r="C18" s="137"/>
      <c r="D18" s="400" t="str">
        <f>IF(BID!D18="","",BID!D18)</f>
        <v/>
      </c>
      <c r="E18" s="401" t="str">
        <f>IF(BID!E18="","",BID!E18)</f>
        <v/>
      </c>
      <c r="F18" s="401" t="str">
        <f>IF(BID!F18="","",BID!F18)</f>
        <v/>
      </c>
      <c r="G18" s="402" t="str">
        <f>IF(BID!G18="","",BID!G18)</f>
        <v/>
      </c>
      <c r="H18" s="403" t="str">
        <f>IF(BID!H18="","",BID!H18)</f>
        <v/>
      </c>
      <c r="I18" s="403" t="str">
        <f>IF(BID!I18="","",BID!I18)</f>
        <v/>
      </c>
      <c r="J18" s="403" t="str">
        <f>IF(BID!J18="","",BID!J18)</f>
        <v/>
      </c>
      <c r="K18" s="404" t="str">
        <f>IF(BID!K18="","",BID!K18)</f>
        <v/>
      </c>
      <c r="L18" s="217" t="str">
        <f>IF(BID!L18="","",BID!L18)</f>
        <v/>
      </c>
      <c r="M18" s="404" t="str">
        <f>IF(BID!M18="","",BID!M18)</f>
        <v/>
      </c>
      <c r="N18" s="404" t="str">
        <f>IF(BID!N18="","",BID!N18)</f>
        <v/>
      </c>
      <c r="O18" s="217">
        <f>IF(BID!O18="","",BID!O18)</f>
        <v>0</v>
      </c>
      <c r="P18" s="404" t="str">
        <f>IF(BID!P18="","",BID!P18)</f>
        <v/>
      </c>
      <c r="Q18" s="404" t="str">
        <f>IF(BID!Q18="","",BID!Q18)</f>
        <v/>
      </c>
      <c r="R18" s="405" t="str">
        <f>IF(BID!R18="","",BID!R18)</f>
        <v/>
      </c>
      <c r="S18" s="406" t="str">
        <f>IF(BID!S18="","",BID!S18)</f>
        <v/>
      </c>
      <c r="T18" s="407" t="e">
        <f>IF(ISBLANK(A18),"",VLOOKUP(A18,gsrates!$A$3:$AR$39,38,FALSE))</f>
        <v>#N/A</v>
      </c>
      <c r="V18" s="380" t="e">
        <f t="shared" si="1"/>
        <v>#N/A</v>
      </c>
    </row>
    <row r="19" spans="1:148" outlineLevel="1" x14ac:dyDescent="0.2">
      <c r="A19" s="190" t="str">
        <f>IF(BID!A19="","",BID!A19)</f>
        <v/>
      </c>
      <c r="B19" s="190" t="str">
        <f>IF(BID!B19="","",BID!B19)</f>
        <v/>
      </c>
      <c r="C19" s="137"/>
      <c r="D19" s="400" t="str">
        <f>IF(BID!D19="","",BID!D19)</f>
        <v/>
      </c>
      <c r="E19" s="401" t="str">
        <f>IF(BID!E19="","",BID!E19)</f>
        <v/>
      </c>
      <c r="F19" s="401" t="str">
        <f>IF(BID!F19="","",BID!F19)</f>
        <v/>
      </c>
      <c r="G19" s="402" t="str">
        <f>IF(BID!G19="","",BID!G19)</f>
        <v/>
      </c>
      <c r="H19" s="403" t="str">
        <f>IF(BID!H19="","",BID!H19)</f>
        <v/>
      </c>
      <c r="I19" s="403" t="str">
        <f>IF(BID!I19="","",BID!I19)</f>
        <v/>
      </c>
      <c r="J19" s="403" t="str">
        <f>IF(BID!J19="","",BID!J19)</f>
        <v/>
      </c>
      <c r="K19" s="404" t="str">
        <f>IF(BID!K19="","",BID!K19)</f>
        <v/>
      </c>
      <c r="L19" s="217" t="str">
        <f>IF(BID!L19="","",BID!L19)</f>
        <v/>
      </c>
      <c r="M19" s="404" t="str">
        <f>IF(BID!M19="","",BID!M19)</f>
        <v/>
      </c>
      <c r="N19" s="404" t="str">
        <f>IF(BID!N19="","",BID!N19)</f>
        <v/>
      </c>
      <c r="O19" s="217">
        <f>IF(BID!O19="","",BID!O19)</f>
        <v>0</v>
      </c>
      <c r="P19" s="404" t="str">
        <f>IF(BID!P19="","",BID!P19)</f>
        <v/>
      </c>
      <c r="Q19" s="404" t="str">
        <f>IF(BID!Q19="","",BID!Q19)</f>
        <v/>
      </c>
      <c r="R19" s="405" t="str">
        <f>IF(BID!R19="","",BID!R19)</f>
        <v/>
      </c>
      <c r="S19" s="406" t="str">
        <f>IF(BID!S19="","",BID!S19)</f>
        <v/>
      </c>
      <c r="T19" s="407" t="e">
        <f>IF(ISBLANK(A19),"",VLOOKUP(A19,gsrates!$A$3:$AR$39,38,FALSE))</f>
        <v>#N/A</v>
      </c>
      <c r="V19" s="380" t="e">
        <f t="shared" si="1"/>
        <v>#N/A</v>
      </c>
    </row>
    <row r="20" spans="1:148" outlineLevel="1" x14ac:dyDescent="0.2">
      <c r="A20" s="190" t="str">
        <f>IF(BID!A20="","",BID!A20)</f>
        <v/>
      </c>
      <c r="B20" s="190" t="str">
        <f>IF(BID!B20="","",BID!B20)</f>
        <v/>
      </c>
      <c r="C20" s="137"/>
      <c r="D20" s="400" t="str">
        <f>IF(BID!D20="","",BID!D20)</f>
        <v/>
      </c>
      <c r="E20" s="401" t="str">
        <f>IF(BID!E20="","",BID!E20)</f>
        <v/>
      </c>
      <c r="F20" s="401" t="str">
        <f>IF(BID!F20="","",BID!F20)</f>
        <v/>
      </c>
      <c r="G20" s="402" t="str">
        <f>IF(BID!G20="","",BID!G20)</f>
        <v/>
      </c>
      <c r="H20" s="403" t="str">
        <f>IF(BID!H20="","",BID!H20)</f>
        <v/>
      </c>
      <c r="I20" s="403" t="str">
        <f>IF(BID!I20="","",BID!I20)</f>
        <v/>
      </c>
      <c r="J20" s="403" t="str">
        <f>IF(BID!J20="","",BID!J20)</f>
        <v/>
      </c>
      <c r="K20" s="404" t="str">
        <f>IF(BID!K20="","",BID!K20)</f>
        <v/>
      </c>
      <c r="L20" s="217" t="str">
        <f>IF(BID!L20="","",BID!L20)</f>
        <v/>
      </c>
      <c r="M20" s="404" t="str">
        <f>IF(BID!M20="","",BID!M20)</f>
        <v/>
      </c>
      <c r="N20" s="404" t="str">
        <f>IF(BID!N20="","",BID!N20)</f>
        <v/>
      </c>
      <c r="O20" s="217">
        <f>IF(BID!O20="","",BID!O20)</f>
        <v>0</v>
      </c>
      <c r="P20" s="404" t="str">
        <f>IF(BID!P20="","",BID!P20)</f>
        <v/>
      </c>
      <c r="Q20" s="404" t="str">
        <f>IF(BID!Q20="","",BID!Q20)</f>
        <v/>
      </c>
      <c r="R20" s="405" t="str">
        <f>IF(BID!R20="","",BID!R20)</f>
        <v/>
      </c>
      <c r="S20" s="406" t="str">
        <f>IF(BID!S20="","",BID!S20)</f>
        <v/>
      </c>
      <c r="T20" s="407" t="e">
        <f>IF(ISBLANK(A20),"",VLOOKUP(A20,gsrates!$A$3:$AR$39,38,FALSE))</f>
        <v>#N/A</v>
      </c>
      <c r="V20" s="380" t="e">
        <f t="shared" si="1"/>
        <v>#N/A</v>
      </c>
    </row>
    <row r="21" spans="1:148" outlineLevel="1" x14ac:dyDescent="0.2">
      <c r="A21" s="190" t="str">
        <f>IF(BID!A21="","",BID!A21)</f>
        <v/>
      </c>
      <c r="B21" s="190" t="str">
        <f>IF(BID!B21="","",BID!B21)</f>
        <v/>
      </c>
      <c r="C21" s="137"/>
      <c r="D21" s="400" t="str">
        <f>IF(BID!D21="","",BID!D21)</f>
        <v/>
      </c>
      <c r="E21" s="401" t="str">
        <f>IF(BID!E21="","",BID!E21)</f>
        <v/>
      </c>
      <c r="F21" s="401" t="str">
        <f>IF(BID!F21="","",BID!F21)</f>
        <v/>
      </c>
      <c r="G21" s="402" t="str">
        <f>IF(BID!G21="","",BID!G21)</f>
        <v/>
      </c>
      <c r="H21" s="403" t="str">
        <f>IF(BID!H21="","",BID!H21)</f>
        <v/>
      </c>
      <c r="I21" s="403" t="str">
        <f>IF(BID!I21="","",BID!I21)</f>
        <v/>
      </c>
      <c r="J21" s="403" t="str">
        <f>IF(BID!J21="","",BID!J21)</f>
        <v/>
      </c>
      <c r="K21" s="404" t="str">
        <f>IF(BID!K21="","",BID!K21)</f>
        <v/>
      </c>
      <c r="L21" s="217" t="str">
        <f>IF(BID!L21="","",BID!L21)</f>
        <v/>
      </c>
      <c r="M21" s="404" t="str">
        <f>IF(BID!M21="","",BID!M21)</f>
        <v/>
      </c>
      <c r="N21" s="404" t="str">
        <f>IF(BID!N21="","",BID!N21)</f>
        <v/>
      </c>
      <c r="O21" s="217">
        <f>IF(BID!O21="","",BID!O21)</f>
        <v>0</v>
      </c>
      <c r="P21" s="404" t="str">
        <f>IF(BID!P21="","",BID!P21)</f>
        <v/>
      </c>
      <c r="Q21" s="404" t="str">
        <f>IF(BID!Q21="","",BID!Q21)</f>
        <v/>
      </c>
      <c r="R21" s="405" t="str">
        <f>IF(BID!R21="","",BID!R21)</f>
        <v/>
      </c>
      <c r="S21" s="406" t="str">
        <f>IF(BID!S21="","",BID!S21)</f>
        <v/>
      </c>
      <c r="T21" s="407" t="e">
        <f>IF(ISBLANK(A21),"",VLOOKUP(A21,gsrates!$A$3:$AR$39,38,FALSE))</f>
        <v>#N/A</v>
      </c>
      <c r="V21" s="380" t="e">
        <f t="shared" si="1"/>
        <v>#N/A</v>
      </c>
    </row>
    <row r="22" spans="1:148" outlineLevel="1" x14ac:dyDescent="0.2">
      <c r="A22" s="190" t="str">
        <f>IF(BID!A22="","",BID!A22)</f>
        <v/>
      </c>
      <c r="B22" s="190" t="str">
        <f>IF(BID!B22="","",BID!B22)</f>
        <v/>
      </c>
      <c r="C22" s="137"/>
      <c r="D22" s="400" t="str">
        <f>IF(BID!D22="","",BID!D22)</f>
        <v/>
      </c>
      <c r="E22" s="401" t="str">
        <f>IF(BID!E22="","",BID!E22)</f>
        <v/>
      </c>
      <c r="F22" s="401" t="str">
        <f>IF(BID!F22="","",BID!F22)</f>
        <v/>
      </c>
      <c r="G22" s="402" t="str">
        <f>IF(BID!G22="","",BID!G22)</f>
        <v/>
      </c>
      <c r="H22" s="403" t="str">
        <f>IF(BID!H22="","",BID!H22)</f>
        <v/>
      </c>
      <c r="I22" s="403" t="str">
        <f>IF(BID!I22="","",BID!I22)</f>
        <v/>
      </c>
      <c r="J22" s="403" t="str">
        <f>IF(BID!J22="","",BID!J22)</f>
        <v/>
      </c>
      <c r="K22" s="404" t="str">
        <f>IF(BID!K22="","",BID!K22)</f>
        <v/>
      </c>
      <c r="L22" s="217" t="str">
        <f>IF(BID!L22="","",BID!L22)</f>
        <v/>
      </c>
      <c r="M22" s="404" t="str">
        <f>IF(BID!M22="","",BID!M22)</f>
        <v/>
      </c>
      <c r="N22" s="404" t="str">
        <f>IF(BID!N22="","",BID!N22)</f>
        <v/>
      </c>
      <c r="O22" s="217">
        <f>IF(BID!O22="","",BID!O22)</f>
        <v>0</v>
      </c>
      <c r="P22" s="404" t="str">
        <f>IF(BID!P22="","",BID!P22)</f>
        <v/>
      </c>
      <c r="Q22" s="404" t="str">
        <f>IF(BID!Q22="","",BID!Q22)</f>
        <v/>
      </c>
      <c r="R22" s="405" t="str">
        <f>IF(BID!R22="","",BID!R22)</f>
        <v/>
      </c>
      <c r="S22" s="406" t="str">
        <f>IF(BID!S22="","",BID!S22)</f>
        <v/>
      </c>
      <c r="T22" s="407" t="e">
        <f>IF(ISBLANK(A22),"",VLOOKUP(A22,gsrates!$A$3:$AR$39,38,FALSE))</f>
        <v>#N/A</v>
      </c>
      <c r="V22" s="380" t="e">
        <f t="shared" si="1"/>
        <v>#N/A</v>
      </c>
    </row>
    <row r="23" spans="1:148" outlineLevel="1" x14ac:dyDescent="0.2">
      <c r="A23" s="190" t="str">
        <f>IF(BID!A23="","",BID!A23)</f>
        <v/>
      </c>
      <c r="B23" s="190" t="str">
        <f>IF(BID!B23="","",BID!B23)</f>
        <v/>
      </c>
      <c r="C23" s="137"/>
      <c r="D23" s="400" t="str">
        <f>IF(BID!D23="","",BID!D23)</f>
        <v/>
      </c>
      <c r="E23" s="401" t="str">
        <f>IF(BID!E23="","",BID!E23)</f>
        <v/>
      </c>
      <c r="F23" s="401" t="str">
        <f>IF(BID!F23="","",BID!F23)</f>
        <v/>
      </c>
      <c r="G23" s="402" t="str">
        <f>IF(BID!G23="","",BID!G23)</f>
        <v/>
      </c>
      <c r="H23" s="403" t="str">
        <f>IF(BID!H23="","",BID!H23)</f>
        <v/>
      </c>
      <c r="I23" s="403" t="str">
        <f>IF(BID!I23="","",BID!I23)</f>
        <v/>
      </c>
      <c r="J23" s="403" t="str">
        <f>IF(BID!J23="","",BID!J23)</f>
        <v/>
      </c>
      <c r="K23" s="404" t="str">
        <f>IF(BID!K23="","",BID!K23)</f>
        <v/>
      </c>
      <c r="L23" s="217" t="str">
        <f>IF(BID!L23="","",BID!L23)</f>
        <v/>
      </c>
      <c r="M23" s="404" t="str">
        <f>IF(BID!M23="","",BID!M23)</f>
        <v/>
      </c>
      <c r="N23" s="404" t="str">
        <f>IF(BID!N23="","",BID!N23)</f>
        <v/>
      </c>
      <c r="O23" s="217">
        <f>IF(BID!O23="","",BID!O23)</f>
        <v>0</v>
      </c>
      <c r="P23" s="404" t="str">
        <f>IF(BID!P23="","",BID!P23)</f>
        <v/>
      </c>
      <c r="Q23" s="404" t="str">
        <f>IF(BID!Q23="","",BID!Q23)</f>
        <v/>
      </c>
      <c r="R23" s="405" t="str">
        <f>IF(BID!R23="","",BID!R23)</f>
        <v/>
      </c>
      <c r="S23" s="406" t="str">
        <f>IF(BID!S23="","",BID!S23)</f>
        <v/>
      </c>
      <c r="T23" s="407" t="e">
        <f>IF(ISBLANK(A23),"",VLOOKUP(A23,gsrates!$A$3:$AR$39,38,FALSE))</f>
        <v>#N/A</v>
      </c>
      <c r="U23" s="379" t="str">
        <f t="shared" si="0"/>
        <v>-NA</v>
      </c>
      <c r="V23" s="380" t="e">
        <f t="shared" ref="V23:V31" si="2">IF(T23=1,I23,0)</f>
        <v>#N/A</v>
      </c>
    </row>
    <row r="24" spans="1:148" outlineLevel="1" x14ac:dyDescent="0.2">
      <c r="A24" s="190" t="str">
        <f>IF(BID!A24="","",BID!A24)</f>
        <v/>
      </c>
      <c r="B24" s="190" t="str">
        <f>IF(BID!B24="","",BID!B24)</f>
        <v/>
      </c>
      <c r="C24" s="137"/>
      <c r="D24" s="400" t="str">
        <f>IF(BID!D24="","",BID!D24)</f>
        <v/>
      </c>
      <c r="E24" s="401" t="str">
        <f>IF(BID!E24="","",BID!E24)</f>
        <v/>
      </c>
      <c r="F24" s="401" t="str">
        <f>IF(BID!F24="","",BID!F24)</f>
        <v/>
      </c>
      <c r="G24" s="402" t="str">
        <f>IF(BID!G24="","",BID!G24)</f>
        <v/>
      </c>
      <c r="H24" s="403" t="str">
        <f>IF(BID!H24="","",BID!H24)</f>
        <v/>
      </c>
      <c r="I24" s="403" t="str">
        <f>IF(BID!I24="","",BID!I24)</f>
        <v/>
      </c>
      <c r="J24" s="403" t="str">
        <f>IF(BID!J24="","",BID!J24)</f>
        <v/>
      </c>
      <c r="K24" s="404" t="str">
        <f>IF(BID!K24="","",BID!K24)</f>
        <v/>
      </c>
      <c r="L24" s="217" t="str">
        <f>IF(BID!L24="","",BID!L24)</f>
        <v/>
      </c>
      <c r="M24" s="404" t="str">
        <f>IF(BID!M24="","",BID!M24)</f>
        <v/>
      </c>
      <c r="N24" s="404" t="str">
        <f>IF(BID!N24="","",BID!N24)</f>
        <v/>
      </c>
      <c r="O24" s="217">
        <f>IF(BID!O24="","",BID!O24)</f>
        <v>0</v>
      </c>
      <c r="P24" s="404" t="str">
        <f>IF(BID!P24="","",BID!P24)</f>
        <v/>
      </c>
      <c r="Q24" s="404" t="str">
        <f>IF(BID!Q24="","",BID!Q24)</f>
        <v/>
      </c>
      <c r="R24" s="405" t="str">
        <f>IF(BID!R24="","",BID!R24)</f>
        <v/>
      </c>
      <c r="S24" s="406" t="str">
        <f>IF(BID!S24="","",BID!S24)</f>
        <v/>
      </c>
      <c r="T24" s="407" t="e">
        <f>IF(ISBLANK(A24),"",VLOOKUP(A24,gsrates!$A$3:$AR$39,38,FALSE))</f>
        <v>#N/A</v>
      </c>
      <c r="U24" s="379" t="str">
        <f t="shared" si="0"/>
        <v>-NA</v>
      </c>
      <c r="V24" s="380" t="e">
        <f t="shared" si="2"/>
        <v>#N/A</v>
      </c>
    </row>
    <row r="25" spans="1:148" outlineLevel="1" x14ac:dyDescent="0.2">
      <c r="A25" s="190" t="str">
        <f>IF(BID!A25="","",BID!A25)</f>
        <v/>
      </c>
      <c r="B25" s="190" t="str">
        <f>IF(BID!B25="","",BID!B25)</f>
        <v/>
      </c>
      <c r="C25" s="137"/>
      <c r="D25" s="400" t="str">
        <f>IF(BID!D25="","",BID!D25)</f>
        <v/>
      </c>
      <c r="E25" s="401" t="str">
        <f>IF(BID!E25="","",BID!E25)</f>
        <v/>
      </c>
      <c r="F25" s="401" t="str">
        <f>IF(BID!F25="","",BID!F25)</f>
        <v/>
      </c>
      <c r="G25" s="402" t="str">
        <f>IF(BID!G25="","",BID!G25)</f>
        <v/>
      </c>
      <c r="H25" s="403" t="str">
        <f>IF(BID!H25="","",BID!H25)</f>
        <v/>
      </c>
      <c r="I25" s="403" t="str">
        <f>IF(BID!I25="","",BID!I25)</f>
        <v/>
      </c>
      <c r="J25" s="403" t="str">
        <f>IF(BID!J25="","",BID!J25)</f>
        <v/>
      </c>
      <c r="K25" s="404" t="str">
        <f>IF(BID!K25="","",BID!K25)</f>
        <v/>
      </c>
      <c r="L25" s="217" t="str">
        <f>IF(BID!L25="","",BID!L25)</f>
        <v/>
      </c>
      <c r="M25" s="404" t="str">
        <f>IF(BID!M25="","",BID!M25)</f>
        <v/>
      </c>
      <c r="N25" s="404" t="str">
        <f>IF(BID!N25="","",BID!N25)</f>
        <v/>
      </c>
      <c r="O25" s="217">
        <f>IF(BID!O25="","",BID!O25)</f>
        <v>0</v>
      </c>
      <c r="P25" s="404" t="str">
        <f>IF(BID!P25="","",BID!P25)</f>
        <v/>
      </c>
      <c r="Q25" s="404" t="str">
        <f>IF(BID!Q25="","",BID!Q25)</f>
        <v/>
      </c>
      <c r="R25" s="405" t="str">
        <f>IF(BID!R25="","",BID!R25)</f>
        <v/>
      </c>
      <c r="S25" s="406" t="str">
        <f>IF(BID!S25="","",BID!S25)</f>
        <v/>
      </c>
      <c r="T25" s="407" t="e">
        <f>IF(ISBLANK(A25),"",VLOOKUP(A25,gsrates!$A$3:$AR$39,38,FALSE))</f>
        <v>#N/A</v>
      </c>
      <c r="U25" s="379" t="str">
        <f t="shared" si="0"/>
        <v>-NA</v>
      </c>
      <c r="V25" s="380" t="e">
        <f t="shared" si="2"/>
        <v>#N/A</v>
      </c>
    </row>
    <row r="26" spans="1:148" outlineLevel="1" x14ac:dyDescent="0.2">
      <c r="A26" s="190" t="str">
        <f>IF(BID!A26="","",BID!A26)</f>
        <v/>
      </c>
      <c r="B26" s="190" t="str">
        <f>IF(BID!B26="","",BID!B26)</f>
        <v/>
      </c>
      <c r="C26" s="137"/>
      <c r="D26" s="400" t="str">
        <f>IF(BID!D26="","",BID!D26)</f>
        <v/>
      </c>
      <c r="E26" s="401" t="str">
        <f>IF(BID!E26="","",BID!E26)</f>
        <v/>
      </c>
      <c r="F26" s="401" t="str">
        <f>IF(BID!F26="","",BID!F26)</f>
        <v/>
      </c>
      <c r="G26" s="402" t="str">
        <f>IF(BID!G26="","",BID!G26)</f>
        <v/>
      </c>
      <c r="H26" s="403" t="str">
        <f>IF(BID!H26="","",BID!H26)</f>
        <v/>
      </c>
      <c r="I26" s="403" t="str">
        <f>IF(BID!I26="","",BID!I26)</f>
        <v/>
      </c>
      <c r="J26" s="403" t="str">
        <f>IF(BID!J26="","",BID!J26)</f>
        <v/>
      </c>
      <c r="K26" s="404" t="str">
        <f>IF(BID!K26="","",BID!K26)</f>
        <v/>
      </c>
      <c r="L26" s="217" t="str">
        <f>IF(BID!L26="","",BID!L26)</f>
        <v/>
      </c>
      <c r="M26" s="404" t="str">
        <f>IF(BID!M26="","",BID!M26)</f>
        <v/>
      </c>
      <c r="N26" s="404" t="str">
        <f>IF(BID!N26="","",BID!N26)</f>
        <v/>
      </c>
      <c r="O26" s="217">
        <f>IF(BID!O26="","",BID!O26)</f>
        <v>0</v>
      </c>
      <c r="P26" s="404" t="str">
        <f>IF(BID!P26="","",BID!P26)</f>
        <v/>
      </c>
      <c r="Q26" s="404" t="str">
        <f>IF(BID!Q26="","",BID!Q26)</f>
        <v/>
      </c>
      <c r="R26" s="405" t="str">
        <f>IF(BID!R26="","",BID!R26)</f>
        <v/>
      </c>
      <c r="S26" s="406" t="str">
        <f>IF(BID!S26="","",BID!S26)</f>
        <v/>
      </c>
      <c r="T26" s="407" t="e">
        <f>IF(ISBLANK(A26),"",VLOOKUP(A26,gsrates!$A$3:$AR$39,38,FALSE))</f>
        <v>#N/A</v>
      </c>
      <c r="U26" s="379" t="str">
        <f t="shared" si="0"/>
        <v>-NA</v>
      </c>
      <c r="V26" s="380" t="e">
        <f t="shared" si="2"/>
        <v>#N/A</v>
      </c>
    </row>
    <row r="27" spans="1:148" outlineLevel="1" x14ac:dyDescent="0.2">
      <c r="A27" s="190" t="str">
        <f>IF(BID!A27="","",BID!A27)</f>
        <v/>
      </c>
      <c r="B27" s="190" t="str">
        <f>IF(BID!B27="","",BID!B27)</f>
        <v/>
      </c>
      <c r="C27" s="137"/>
      <c r="D27" s="400" t="str">
        <f>IF(BID!D27="","",BID!D27)</f>
        <v/>
      </c>
      <c r="E27" s="401" t="str">
        <f>IF(BID!E27="","",BID!E27)</f>
        <v/>
      </c>
      <c r="F27" s="401" t="str">
        <f>IF(BID!F27="","",BID!F27)</f>
        <v/>
      </c>
      <c r="G27" s="402" t="str">
        <f>IF(BID!G27="","",BID!G27)</f>
        <v/>
      </c>
      <c r="H27" s="403" t="str">
        <f>IF(BID!H27="","",BID!H27)</f>
        <v/>
      </c>
      <c r="I27" s="403" t="str">
        <f>IF(BID!I27="","",BID!I27)</f>
        <v/>
      </c>
      <c r="J27" s="403" t="str">
        <f>IF(BID!J27="","",BID!J27)</f>
        <v/>
      </c>
      <c r="K27" s="404" t="str">
        <f>IF(BID!K27="","",BID!K27)</f>
        <v/>
      </c>
      <c r="L27" s="217" t="str">
        <f>IF(BID!L27="","",BID!L27)</f>
        <v/>
      </c>
      <c r="M27" s="404" t="str">
        <f>IF(BID!M27="","",BID!M27)</f>
        <v/>
      </c>
      <c r="N27" s="404" t="str">
        <f>IF(BID!N27="","",BID!N27)</f>
        <v/>
      </c>
      <c r="O27" s="217">
        <f>IF(BID!O27="","",BID!O27)</f>
        <v>0</v>
      </c>
      <c r="P27" s="404" t="str">
        <f>IF(BID!P27="","",BID!P27)</f>
        <v/>
      </c>
      <c r="Q27" s="404" t="str">
        <f>IF(BID!Q27="","",BID!Q27)</f>
        <v/>
      </c>
      <c r="R27" s="405" t="str">
        <f>IF(BID!R27="","",BID!R27)</f>
        <v/>
      </c>
      <c r="S27" s="406" t="str">
        <f>IF(BID!S27="","",BID!S27)</f>
        <v/>
      </c>
      <c r="T27" s="407" t="e">
        <f>IF(ISBLANK(A27),"",VLOOKUP(A27,gsrates!$A$3:$AR$39,38,FALSE))</f>
        <v>#N/A</v>
      </c>
      <c r="U27" s="379" t="str">
        <f t="shared" si="0"/>
        <v>-NA</v>
      </c>
      <c r="V27" s="380" t="e">
        <f t="shared" si="2"/>
        <v>#N/A</v>
      </c>
    </row>
    <row r="28" spans="1:148" outlineLevel="1" x14ac:dyDescent="0.2">
      <c r="A28" s="190" t="str">
        <f>IF(BID!A28="","",BID!A28)</f>
        <v/>
      </c>
      <c r="B28" s="190" t="str">
        <f>IF(BID!B28="","",BID!B28)</f>
        <v/>
      </c>
      <c r="C28" s="137"/>
      <c r="D28" s="400" t="str">
        <f>IF(BID!D28="","",BID!D28)</f>
        <v/>
      </c>
      <c r="E28" s="401" t="str">
        <f>IF(BID!E28="","",BID!E28)</f>
        <v/>
      </c>
      <c r="F28" s="401" t="str">
        <f>IF(BID!F28="","",BID!F28)</f>
        <v/>
      </c>
      <c r="G28" s="402" t="str">
        <f>IF(BID!G28="","",BID!G28)</f>
        <v/>
      </c>
      <c r="H28" s="403" t="str">
        <f>IF(BID!H28="","",BID!H28)</f>
        <v/>
      </c>
      <c r="I28" s="403" t="str">
        <f>IF(BID!I28="","",BID!I28)</f>
        <v/>
      </c>
      <c r="J28" s="403" t="str">
        <f>IF(BID!J28="","",BID!J28)</f>
        <v/>
      </c>
      <c r="K28" s="404" t="str">
        <f>IF(BID!K28="","",BID!K28)</f>
        <v/>
      </c>
      <c r="L28" s="217" t="str">
        <f>IF(BID!L28="","",BID!L28)</f>
        <v/>
      </c>
      <c r="M28" s="404" t="str">
        <f>IF(BID!M28="","",BID!M28)</f>
        <v/>
      </c>
      <c r="N28" s="404" t="str">
        <f>IF(BID!N28="","",BID!N28)</f>
        <v/>
      </c>
      <c r="O28" s="217">
        <f>IF(BID!O28="","",BID!O28)</f>
        <v>0</v>
      </c>
      <c r="P28" s="404" t="str">
        <f>IF(BID!P28="","",BID!P28)</f>
        <v/>
      </c>
      <c r="Q28" s="404" t="str">
        <f>IF(BID!Q28="","",BID!Q28)</f>
        <v/>
      </c>
      <c r="R28" s="405" t="str">
        <f>IF(BID!R28="","",BID!R28)</f>
        <v/>
      </c>
      <c r="S28" s="406" t="str">
        <f>IF(BID!S28="","",BID!S28)</f>
        <v/>
      </c>
      <c r="T28" s="407" t="e">
        <f>IF(ISBLANK(A28),"",VLOOKUP(A28,gsrates!$A$3:$AR$39,38,FALSE))</f>
        <v>#N/A</v>
      </c>
      <c r="U28" s="379" t="str">
        <f t="shared" si="0"/>
        <v>-NA</v>
      </c>
      <c r="V28" s="380" t="e">
        <f t="shared" si="2"/>
        <v>#N/A</v>
      </c>
    </row>
    <row r="29" spans="1:148" outlineLevel="1" x14ac:dyDescent="0.2">
      <c r="A29" s="190" t="str">
        <f>IF(BID!A29="","",BID!A29)</f>
        <v/>
      </c>
      <c r="B29" s="190" t="str">
        <f>IF(BID!B29="","",BID!B29)</f>
        <v/>
      </c>
      <c r="C29" s="137"/>
      <c r="D29" s="400" t="str">
        <f>IF(BID!D29="","",BID!D29)</f>
        <v/>
      </c>
      <c r="E29" s="401" t="str">
        <f>IF(BID!E29="","",BID!E29)</f>
        <v/>
      </c>
      <c r="F29" s="401" t="str">
        <f>IF(BID!F29="","",BID!F29)</f>
        <v/>
      </c>
      <c r="G29" s="402" t="str">
        <f>IF(BID!G29="","",BID!G29)</f>
        <v/>
      </c>
      <c r="H29" s="403" t="str">
        <f>IF(BID!H29="","",BID!H29)</f>
        <v/>
      </c>
      <c r="I29" s="403" t="str">
        <f>IF(BID!I29="","",BID!I29)</f>
        <v/>
      </c>
      <c r="J29" s="403" t="str">
        <f>IF(BID!J29="","",BID!J29)</f>
        <v/>
      </c>
      <c r="K29" s="404" t="str">
        <f>IF(BID!K29="","",BID!K29)</f>
        <v/>
      </c>
      <c r="L29" s="217" t="str">
        <f>IF(BID!L29="","",BID!L29)</f>
        <v/>
      </c>
      <c r="M29" s="404" t="str">
        <f>IF(BID!M29="","",BID!M29)</f>
        <v/>
      </c>
      <c r="N29" s="404" t="str">
        <f>IF(BID!N29="","",BID!N29)</f>
        <v/>
      </c>
      <c r="O29" s="217">
        <f>IF(BID!O29="","",BID!O29)</f>
        <v>0</v>
      </c>
      <c r="P29" s="404" t="str">
        <f>IF(BID!P29="","",BID!P29)</f>
        <v/>
      </c>
      <c r="Q29" s="404" t="str">
        <f>IF(BID!Q29="","",BID!Q29)</f>
        <v/>
      </c>
      <c r="R29" s="405" t="str">
        <f>IF(BID!R29="","",BID!R29)</f>
        <v/>
      </c>
      <c r="S29" s="406" t="str">
        <f>IF(BID!S29="","",BID!S29)</f>
        <v/>
      </c>
      <c r="T29" s="407" t="e">
        <f>IF(ISBLANK(A29),"",VLOOKUP(A29,gsrates!$A$3:$AR$39,38,FALSE))</f>
        <v>#N/A</v>
      </c>
      <c r="U29" s="379" t="str">
        <f t="shared" si="0"/>
        <v>-NA</v>
      </c>
      <c r="V29" s="380" t="e">
        <f t="shared" si="2"/>
        <v>#N/A</v>
      </c>
    </row>
    <row r="30" spans="1:148" outlineLevel="1" x14ac:dyDescent="0.2">
      <c r="A30" s="190" t="str">
        <f>IF(BID!A30="","",BID!A30)</f>
        <v/>
      </c>
      <c r="B30" s="190" t="str">
        <f>IF(BID!B30="","",BID!B30)</f>
        <v/>
      </c>
      <c r="C30" s="137"/>
      <c r="D30" s="400" t="str">
        <f>IF(BID!D30="","",BID!D30)</f>
        <v/>
      </c>
      <c r="E30" s="401" t="str">
        <f>IF(BID!E30="","",BID!E30)</f>
        <v/>
      </c>
      <c r="F30" s="401" t="str">
        <f>IF(BID!F30="","",BID!F30)</f>
        <v/>
      </c>
      <c r="G30" s="402" t="str">
        <f>IF(BID!G30="","",BID!G30)</f>
        <v/>
      </c>
      <c r="H30" s="403" t="str">
        <f>IF(BID!H30="","",BID!H30)</f>
        <v/>
      </c>
      <c r="I30" s="403" t="str">
        <f>IF(BID!I30="","",BID!I30)</f>
        <v/>
      </c>
      <c r="J30" s="403" t="str">
        <f>IF(BID!J30="","",BID!J30)</f>
        <v/>
      </c>
      <c r="K30" s="404" t="str">
        <f>IF(BID!K30="","",BID!K30)</f>
        <v/>
      </c>
      <c r="L30" s="217" t="str">
        <f>IF(BID!L30="","",BID!L30)</f>
        <v/>
      </c>
      <c r="M30" s="404" t="str">
        <f>IF(BID!M30="","",BID!M30)</f>
        <v/>
      </c>
      <c r="N30" s="404" t="str">
        <f>IF(BID!N30="","",BID!N30)</f>
        <v/>
      </c>
      <c r="O30" s="217">
        <f>IF(BID!O30="","",BID!O30)</f>
        <v>0</v>
      </c>
      <c r="P30" s="404" t="str">
        <f>IF(BID!P30="","",BID!P30)</f>
        <v/>
      </c>
      <c r="Q30" s="404" t="str">
        <f>IF(BID!Q30="","",BID!Q30)</f>
        <v/>
      </c>
      <c r="R30" s="405" t="str">
        <f>IF(BID!R30="","",BID!R30)</f>
        <v/>
      </c>
      <c r="S30" s="406" t="str">
        <f>IF(BID!S30="","",BID!S30)</f>
        <v/>
      </c>
      <c r="T30" s="407" t="e">
        <f>IF(ISBLANK(A30),"",VLOOKUP(A30,gsrates!$A$3:$AR$39,38,FALSE))</f>
        <v>#N/A</v>
      </c>
      <c r="U30" s="379" t="str">
        <f t="shared" si="0"/>
        <v>-NA</v>
      </c>
      <c r="V30" s="380" t="e">
        <f t="shared" si="2"/>
        <v>#N/A</v>
      </c>
    </row>
    <row r="31" spans="1:148" s="409" customFormat="1" ht="13.5" outlineLevel="1" thickBot="1" x14ac:dyDescent="0.25">
      <c r="A31" s="190" t="str">
        <f>IF(BID!A31="","",BID!A31)</f>
        <v/>
      </c>
      <c r="B31" s="190" t="str">
        <f>IF(BID!B31="","",BID!B31)</f>
        <v/>
      </c>
      <c r="C31" s="408"/>
      <c r="D31" s="400" t="str">
        <f>IF(BID!D31="","",BID!D31)</f>
        <v/>
      </c>
      <c r="E31" s="401" t="str">
        <f>IF(BID!E31="","",BID!E31)</f>
        <v/>
      </c>
      <c r="F31" s="401" t="str">
        <f>IF(BID!F31="","",BID!F31)</f>
        <v/>
      </c>
      <c r="G31" s="402" t="str">
        <f>IF(BID!G31="","",BID!G31)</f>
        <v/>
      </c>
      <c r="H31" s="403" t="str">
        <f>IF(BID!H31="","",BID!H31)</f>
        <v/>
      </c>
      <c r="I31" s="403" t="str">
        <f>IF(BID!I31="","",BID!I31)</f>
        <v/>
      </c>
      <c r="J31" s="403" t="str">
        <f>IF(BID!J31="","",BID!J31)</f>
        <v/>
      </c>
      <c r="K31" s="404" t="str">
        <f>IF(BID!K31="","",BID!K31)</f>
        <v/>
      </c>
      <c r="L31" s="217" t="str">
        <f>IF(BID!L31="","",BID!L31)</f>
        <v/>
      </c>
      <c r="M31" s="404" t="str">
        <f>IF(BID!M31="","",BID!M31)</f>
        <v/>
      </c>
      <c r="N31" s="404" t="str">
        <f>IF(BID!N31="","",BID!N31)</f>
        <v/>
      </c>
      <c r="O31" s="217">
        <f>IF(BID!O31="","",BID!O31)</f>
        <v>0</v>
      </c>
      <c r="P31" s="404" t="str">
        <f>IF(BID!P31="","",BID!P31)</f>
        <v/>
      </c>
      <c r="Q31" s="404" t="str">
        <f>IF(BID!Q31="","",BID!Q31)</f>
        <v/>
      </c>
      <c r="R31" s="405" t="str">
        <f>IF(BID!R31="","",BID!R31)</f>
        <v/>
      </c>
      <c r="S31" s="406" t="str">
        <f>IF(BID!S31="","",BID!S31)</f>
        <v/>
      </c>
      <c r="T31" s="407" t="e">
        <f>IF(ISBLANK(A31),"",VLOOKUP(A31,gsrates!$A$3:$AR$39,38,FALSE))</f>
        <v>#N/A</v>
      </c>
      <c r="U31" s="379" t="str">
        <f t="shared" si="0"/>
        <v>-NA</v>
      </c>
      <c r="V31" s="380" t="e">
        <f t="shared" si="2"/>
        <v>#N/A</v>
      </c>
      <c r="W31" s="96"/>
      <c r="X31" s="96"/>
      <c r="Y31" s="96"/>
      <c r="Z31" s="96"/>
      <c r="AA31" s="96"/>
      <c r="AB31" s="96"/>
      <c r="AC31" s="96"/>
      <c r="AD31" s="96"/>
      <c r="AE31" s="96"/>
      <c r="AF31" s="96"/>
      <c r="AG31" s="96"/>
      <c r="AH31" s="96"/>
      <c r="AI31" s="96"/>
      <c r="AJ31" s="96"/>
      <c r="AK31" s="96"/>
      <c r="AL31" s="96"/>
      <c r="AM31" s="96"/>
      <c r="AN31" s="96"/>
      <c r="AO31" s="96"/>
      <c r="AP31" s="96"/>
      <c r="AQ31" s="96"/>
      <c r="AR31" s="96"/>
      <c r="AS31" s="96"/>
      <c r="AT31" s="96"/>
      <c r="AU31" s="96"/>
      <c r="AV31" s="96"/>
      <c r="AW31" s="96"/>
      <c r="AX31" s="96"/>
      <c r="AY31" s="96"/>
      <c r="AZ31" s="96"/>
      <c r="BA31" s="96"/>
      <c r="BB31" s="96"/>
      <c r="BC31" s="96"/>
      <c r="BD31" s="96"/>
      <c r="BE31" s="96"/>
      <c r="BF31" s="96"/>
      <c r="BG31" s="96"/>
      <c r="BH31" s="96"/>
      <c r="BI31" s="96"/>
      <c r="BJ31" s="96"/>
      <c r="BK31" s="96"/>
      <c r="BL31" s="96"/>
      <c r="BM31" s="96"/>
      <c r="BN31" s="96"/>
      <c r="BO31" s="96"/>
      <c r="BP31" s="96"/>
      <c r="BQ31" s="96"/>
      <c r="BR31" s="96"/>
      <c r="BS31" s="96"/>
      <c r="BT31" s="96"/>
      <c r="BU31" s="96"/>
      <c r="BV31" s="96"/>
      <c r="BW31" s="96"/>
      <c r="BX31" s="96"/>
      <c r="BY31" s="96"/>
      <c r="BZ31" s="96"/>
      <c r="CA31" s="96"/>
      <c r="CB31" s="96"/>
      <c r="CC31" s="96"/>
      <c r="CD31" s="96"/>
      <c r="CE31" s="96"/>
      <c r="CF31" s="96"/>
      <c r="CG31" s="96"/>
      <c r="CH31" s="96"/>
      <c r="CI31" s="96"/>
      <c r="CJ31" s="96"/>
      <c r="CK31" s="96"/>
      <c r="CL31" s="96"/>
      <c r="CM31" s="96"/>
      <c r="CN31" s="96"/>
      <c r="CO31" s="96"/>
      <c r="CP31" s="96"/>
      <c r="CQ31" s="96"/>
      <c r="CR31" s="96"/>
      <c r="CS31" s="96"/>
      <c r="CT31" s="96"/>
      <c r="CU31" s="96"/>
      <c r="CV31" s="96"/>
      <c r="CW31" s="96"/>
      <c r="CX31" s="96"/>
      <c r="CY31" s="96"/>
      <c r="CZ31" s="96"/>
      <c r="DA31" s="96"/>
      <c r="DB31" s="96"/>
      <c r="DC31" s="96"/>
      <c r="DD31" s="96"/>
      <c r="DE31" s="96"/>
      <c r="DF31" s="96"/>
      <c r="DG31" s="96"/>
      <c r="DH31" s="96"/>
      <c r="DI31" s="96"/>
      <c r="DJ31" s="96"/>
      <c r="DK31" s="96"/>
      <c r="DL31" s="96"/>
      <c r="DM31" s="96"/>
      <c r="DN31" s="96"/>
      <c r="DO31" s="96"/>
      <c r="DP31" s="96"/>
      <c r="DQ31" s="96"/>
      <c r="DR31" s="96"/>
      <c r="DS31" s="96"/>
      <c r="DT31" s="96"/>
      <c r="DU31" s="96"/>
      <c r="DV31" s="96"/>
      <c r="DW31" s="96"/>
      <c r="DX31" s="96"/>
      <c r="DY31" s="96"/>
      <c r="DZ31" s="96"/>
      <c r="EA31" s="96"/>
      <c r="EB31" s="96"/>
      <c r="EC31" s="96"/>
      <c r="ED31" s="96"/>
      <c r="EE31" s="96"/>
      <c r="EF31" s="96"/>
      <c r="EG31" s="96"/>
      <c r="EH31" s="96"/>
      <c r="EI31" s="96"/>
      <c r="EJ31" s="96"/>
      <c r="EK31" s="96"/>
      <c r="EL31" s="96"/>
      <c r="EM31" s="96"/>
      <c r="EN31" s="96"/>
      <c r="EO31" s="96"/>
      <c r="EP31" s="96"/>
      <c r="EQ31" s="96"/>
      <c r="ER31" s="96"/>
    </row>
    <row r="32" spans="1:148" x14ac:dyDescent="0.2">
      <c r="A32" s="465" t="s">
        <v>11</v>
      </c>
      <c r="B32" s="465"/>
      <c r="C32" s="399"/>
      <c r="D32" s="399"/>
      <c r="E32" s="410"/>
      <c r="F32" s="410"/>
      <c r="G32" s="51"/>
      <c r="H32" s="411">
        <f>SUM(H14:H31)</f>
        <v>900</v>
      </c>
      <c r="I32" s="411">
        <f>SUM(I14:I31)</f>
        <v>7200</v>
      </c>
      <c r="J32" s="33"/>
      <c r="K32" s="412">
        <f>SUM(K14:K31)</f>
        <v>2412000</v>
      </c>
      <c r="L32" s="215"/>
      <c r="M32" s="215">
        <f>SUM(M14:M31)</f>
        <v>988800</v>
      </c>
      <c r="N32" s="412">
        <f>SUM(N14:N31)</f>
        <v>1423200</v>
      </c>
      <c r="P32" s="215">
        <f>SUM(P14:P31)</f>
        <v>1032000</v>
      </c>
      <c r="Q32" s="412">
        <f>SUM(Q14:Q31)</f>
        <v>43200</v>
      </c>
      <c r="R32" s="413">
        <f>IF(H32=0,"",Q32/P32)</f>
        <v>4.1860465116279069E-2</v>
      </c>
      <c r="S32" s="51">
        <f>IF(H32=0,"",1-P32/K32)</f>
        <v>0.57213930348258701</v>
      </c>
      <c r="T32" s="414" t="e">
        <f>SUM(T14:T31)</f>
        <v>#N/A</v>
      </c>
      <c r="V32" s="414" t="e">
        <f>SUM(V14:V31)</f>
        <v>#N/A</v>
      </c>
    </row>
    <row r="33" spans="1:148" x14ac:dyDescent="0.2">
      <c r="E33" s="410"/>
      <c r="F33" s="410"/>
      <c r="G33" s="51"/>
      <c r="H33" s="411"/>
      <c r="I33" s="411"/>
      <c r="J33" s="33"/>
      <c r="K33" s="412"/>
      <c r="L33" s="215"/>
      <c r="M33" s="215"/>
      <c r="N33" s="412"/>
      <c r="P33" s="215"/>
      <c r="Q33" s="412"/>
      <c r="R33" s="415"/>
      <c r="S33" s="51"/>
    </row>
    <row r="34" spans="1:148" outlineLevel="1" x14ac:dyDescent="0.2">
      <c r="B34" s="387"/>
      <c r="C34" s="387"/>
      <c r="D34" s="387"/>
      <c r="E34" s="57"/>
      <c r="F34" s="57"/>
      <c r="G34" s="57"/>
      <c r="H34" s="388"/>
      <c r="I34" s="389"/>
      <c r="J34" s="391"/>
      <c r="K34" s="416"/>
      <c r="L34" s="417"/>
      <c r="M34" s="417"/>
      <c r="N34" s="416"/>
      <c r="O34" s="391"/>
      <c r="P34" s="417"/>
      <c r="Q34" s="416"/>
      <c r="R34" s="388"/>
      <c r="S34" s="388"/>
    </row>
    <row r="35" spans="1:148" outlineLevel="1" x14ac:dyDescent="0.2">
      <c r="A35" s="392" t="s">
        <v>12</v>
      </c>
      <c r="B35" s="392" t="s">
        <v>53</v>
      </c>
      <c r="C35" s="392"/>
      <c r="D35" s="392"/>
      <c r="E35" s="393" t="s">
        <v>54</v>
      </c>
      <c r="F35" s="393" t="s">
        <v>55</v>
      </c>
      <c r="G35" s="393" t="s">
        <v>7</v>
      </c>
      <c r="H35" s="393" t="s">
        <v>20</v>
      </c>
      <c r="I35" s="394" t="s">
        <v>78</v>
      </c>
      <c r="J35" s="40" t="s">
        <v>10</v>
      </c>
      <c r="K35" s="393" t="s">
        <v>56</v>
      </c>
      <c r="L35" s="202" t="s">
        <v>57</v>
      </c>
      <c r="M35" s="202" t="s">
        <v>31</v>
      </c>
      <c r="N35" s="418" t="s">
        <v>21</v>
      </c>
      <c r="O35" s="40" t="s">
        <v>22</v>
      </c>
      <c r="P35" s="202" t="s">
        <v>58</v>
      </c>
      <c r="Q35" s="393" t="s">
        <v>32</v>
      </c>
      <c r="R35" s="393" t="s">
        <v>23</v>
      </c>
      <c r="S35" s="393" t="s">
        <v>24</v>
      </c>
    </row>
    <row r="36" spans="1:148" outlineLevel="1" x14ac:dyDescent="0.2">
      <c r="A36" s="190" t="str">
        <f>IF(BID!A36="","",BID!A36)</f>
        <v/>
      </c>
      <c r="B36" s="190" t="str">
        <f>IF(BID!B36="","",BID!B36)</f>
        <v/>
      </c>
      <c r="C36" s="137"/>
      <c r="D36" s="400" t="str">
        <f>IF(BID!D36="","",BID!D36)</f>
        <v/>
      </c>
      <c r="E36" s="401" t="str">
        <f>IF(BID!E36="","",BID!E36)</f>
        <v/>
      </c>
      <c r="F36" s="401" t="str">
        <f>IF(BID!F36="","",BID!F36)</f>
        <v/>
      </c>
      <c r="G36" s="402" t="str">
        <f>IF(BID!G36="","",BID!G36)</f>
        <v/>
      </c>
      <c r="H36" s="403" t="str">
        <f>IF(BID!H36="","",BID!H36)</f>
        <v/>
      </c>
      <c r="I36" s="403" t="str">
        <f>IF(BID!I36="","",BID!I36)</f>
        <v/>
      </c>
      <c r="J36" s="403" t="str">
        <f>IF(BID!J36="","",BID!J36)</f>
        <v/>
      </c>
      <c r="K36" s="404" t="str">
        <f>IF(BID!K36="","",BID!K36)</f>
        <v/>
      </c>
      <c r="L36" s="217" t="str">
        <f>IF(BID!L36="","",BID!L36)</f>
        <v/>
      </c>
      <c r="M36" s="404" t="str">
        <f>IF(BID!M36="","",BID!M36)</f>
        <v xml:space="preserve"> </v>
      </c>
      <c r="N36" s="404" t="str">
        <f>IF(BID!N36="","",BID!N36)</f>
        <v/>
      </c>
      <c r="O36" s="217">
        <f>IF(BID!O36="","",BID!O36)</f>
        <v>0</v>
      </c>
      <c r="P36" s="404" t="str">
        <f>IF(BID!P36="","",BID!P36)</f>
        <v/>
      </c>
      <c r="Q36" s="404" t="str">
        <f>IF(BID!Q36="","",BID!Q36)</f>
        <v/>
      </c>
      <c r="R36" s="405" t="str">
        <f>IF(BID!R36="","",BID!R36)</f>
        <v/>
      </c>
      <c r="S36" s="406" t="str">
        <f>IF(BID!S36="","",BID!S36)</f>
        <v/>
      </c>
      <c r="U36" s="379" t="str">
        <f t="shared" ref="U36:U42" si="3">IF(ISBLANK(A36),"",CONCATENATE(C36,"-",$B$5))</f>
        <v>-NA</v>
      </c>
      <c r="Y36" s="399"/>
    </row>
    <row r="37" spans="1:148" outlineLevel="1" x14ac:dyDescent="0.2">
      <c r="A37" s="190" t="str">
        <f>IF(BID!A37="","",BID!A37)</f>
        <v/>
      </c>
      <c r="B37" s="190" t="str">
        <f>IF(BID!B37="","",BID!B37)</f>
        <v/>
      </c>
      <c r="C37" s="137"/>
      <c r="D37" s="400" t="str">
        <f>IF(BID!D37="","",BID!D37)</f>
        <v/>
      </c>
      <c r="E37" s="401" t="str">
        <f>IF(BID!E37="","",BID!E37)</f>
        <v/>
      </c>
      <c r="F37" s="401" t="str">
        <f>IF(BID!F37="","",BID!F37)</f>
        <v/>
      </c>
      <c r="G37" s="402" t="str">
        <f>IF(BID!G37="","",BID!G37)</f>
        <v/>
      </c>
      <c r="H37" s="403" t="str">
        <f>IF(BID!H37="","",BID!H37)</f>
        <v/>
      </c>
      <c r="I37" s="403" t="str">
        <f>IF(BID!I37="","",BID!I37)</f>
        <v/>
      </c>
      <c r="J37" s="403" t="str">
        <f>IF(BID!J37="","",BID!J37)</f>
        <v/>
      </c>
      <c r="K37" s="404" t="str">
        <f>IF(BID!K37="","",BID!K37)</f>
        <v/>
      </c>
      <c r="L37" s="217" t="str">
        <f>IF(BID!L37="","",BID!L37)</f>
        <v/>
      </c>
      <c r="M37" s="404" t="str">
        <f>IF(BID!M37="","",BID!M37)</f>
        <v xml:space="preserve"> </v>
      </c>
      <c r="N37" s="404" t="str">
        <f>IF(BID!N37="","",BID!N37)</f>
        <v/>
      </c>
      <c r="O37" s="217">
        <f>IF(BID!O37="","",BID!O37)</f>
        <v>0</v>
      </c>
      <c r="P37" s="404" t="str">
        <f>IF(BID!P37="","",BID!P37)</f>
        <v/>
      </c>
      <c r="Q37" s="404" t="str">
        <f>IF(BID!Q37="","",BID!Q37)</f>
        <v/>
      </c>
      <c r="R37" s="405" t="str">
        <f>IF(BID!R37="","",BID!R37)</f>
        <v/>
      </c>
      <c r="S37" s="406" t="str">
        <f>IF(BID!S37="","",BID!S37)</f>
        <v/>
      </c>
      <c r="U37" s="379" t="str">
        <f t="shared" si="3"/>
        <v>-NA</v>
      </c>
    </row>
    <row r="38" spans="1:148" outlineLevel="1" x14ac:dyDescent="0.2">
      <c r="A38" s="190" t="str">
        <f>IF(BID!A38="","",BID!A38)</f>
        <v/>
      </c>
      <c r="B38" s="190" t="str">
        <f>IF(BID!B38="","",BID!B38)</f>
        <v/>
      </c>
      <c r="C38" s="137"/>
      <c r="D38" s="400" t="str">
        <f>IF(BID!D38="","",BID!D38)</f>
        <v/>
      </c>
      <c r="E38" s="401" t="str">
        <f>IF(BID!E38="","",BID!E38)</f>
        <v/>
      </c>
      <c r="F38" s="401" t="str">
        <f>IF(BID!F38="","",BID!F38)</f>
        <v/>
      </c>
      <c r="G38" s="402" t="str">
        <f>IF(BID!G38="","",BID!G38)</f>
        <v/>
      </c>
      <c r="H38" s="403" t="str">
        <f>IF(BID!H38="","",BID!H38)</f>
        <v/>
      </c>
      <c r="I38" s="403" t="str">
        <f>IF(BID!I38="","",BID!I38)</f>
        <v/>
      </c>
      <c r="J38" s="403" t="str">
        <f>IF(BID!J38="","",BID!J38)</f>
        <v/>
      </c>
      <c r="K38" s="404" t="str">
        <f>IF(BID!K38="","",BID!K38)</f>
        <v/>
      </c>
      <c r="L38" s="217" t="str">
        <f>IF(BID!L38="","",BID!L38)</f>
        <v/>
      </c>
      <c r="M38" s="404" t="str">
        <f>IF(BID!M38="","",BID!M38)</f>
        <v xml:space="preserve"> </v>
      </c>
      <c r="N38" s="404" t="str">
        <f>IF(BID!N38="","",BID!N38)</f>
        <v/>
      </c>
      <c r="O38" s="217" t="str">
        <f>IF(BID!O38="","",BID!O38)</f>
        <v/>
      </c>
      <c r="P38" s="404" t="str">
        <f>IF(BID!P38="","",BID!P38)</f>
        <v/>
      </c>
      <c r="Q38" s="404" t="str">
        <f>IF(BID!Q38="","",BID!Q38)</f>
        <v/>
      </c>
      <c r="R38" s="405" t="str">
        <f>IF(BID!R38="","",BID!R38)</f>
        <v/>
      </c>
      <c r="S38" s="406" t="str">
        <f>IF(BID!S38="","",BID!S38)</f>
        <v/>
      </c>
      <c r="U38" s="379" t="str">
        <f t="shared" si="3"/>
        <v>-NA</v>
      </c>
    </row>
    <row r="39" spans="1:148" outlineLevel="1" x14ac:dyDescent="0.2">
      <c r="A39" s="190" t="str">
        <f>IF(BID!A39="","",BID!A39)</f>
        <v/>
      </c>
      <c r="B39" s="190" t="str">
        <f>IF(BID!B39="","",BID!B39)</f>
        <v/>
      </c>
      <c r="C39" s="137"/>
      <c r="D39" s="400" t="str">
        <f>IF(BID!D39="","",BID!D39)</f>
        <v/>
      </c>
      <c r="E39" s="401" t="str">
        <f>IF(BID!E39="","",BID!E39)</f>
        <v/>
      </c>
      <c r="F39" s="401" t="str">
        <f>IF(BID!F39="","",BID!F39)</f>
        <v/>
      </c>
      <c r="G39" s="402" t="str">
        <f>IF(BID!G39="","",BID!G39)</f>
        <v/>
      </c>
      <c r="H39" s="403" t="str">
        <f>IF(BID!H39="","",BID!H39)</f>
        <v/>
      </c>
      <c r="I39" s="403" t="str">
        <f>IF(BID!I39="","",BID!I39)</f>
        <v/>
      </c>
      <c r="J39" s="403" t="str">
        <f>IF(BID!J39="","",BID!J39)</f>
        <v/>
      </c>
      <c r="K39" s="404" t="str">
        <f>IF(BID!K39="","",BID!K39)</f>
        <v/>
      </c>
      <c r="L39" s="217" t="str">
        <f>IF(BID!L39="","",BID!L39)</f>
        <v/>
      </c>
      <c r="M39" s="404" t="str">
        <f>IF(BID!M39="","",BID!M39)</f>
        <v xml:space="preserve"> </v>
      </c>
      <c r="N39" s="404" t="str">
        <f>IF(BID!N39="","",BID!N39)</f>
        <v/>
      </c>
      <c r="O39" s="217" t="str">
        <f>IF(BID!O39="","",BID!O39)</f>
        <v/>
      </c>
      <c r="P39" s="404" t="str">
        <f>IF(BID!P39="","",BID!P39)</f>
        <v/>
      </c>
      <c r="Q39" s="404" t="str">
        <f>IF(BID!Q39="","",BID!Q39)</f>
        <v/>
      </c>
      <c r="R39" s="405" t="str">
        <f>IF(BID!R39="","",BID!R39)</f>
        <v/>
      </c>
      <c r="S39" s="406" t="str">
        <f>IF(BID!S39="","",BID!S39)</f>
        <v/>
      </c>
      <c r="U39" s="379" t="str">
        <f t="shared" si="3"/>
        <v>-NA</v>
      </c>
    </row>
    <row r="40" spans="1:148" outlineLevel="1" x14ac:dyDescent="0.2">
      <c r="A40" s="190" t="str">
        <f>IF(BID!A40="","",BID!A40)</f>
        <v/>
      </c>
      <c r="B40" s="190" t="str">
        <f>IF(BID!B40="","",BID!B40)</f>
        <v/>
      </c>
      <c r="C40" s="137"/>
      <c r="D40" s="400" t="str">
        <f>IF(BID!D40="","",BID!D40)</f>
        <v/>
      </c>
      <c r="E40" s="401" t="str">
        <f>IF(BID!E40="","",BID!E40)</f>
        <v/>
      </c>
      <c r="F40" s="401" t="str">
        <f>IF(BID!F40="","",BID!F40)</f>
        <v/>
      </c>
      <c r="G40" s="402" t="str">
        <f>IF(BID!G40="","",BID!G40)</f>
        <v/>
      </c>
      <c r="H40" s="403" t="str">
        <f>IF(BID!H40="","",BID!H40)</f>
        <v/>
      </c>
      <c r="I40" s="403" t="str">
        <f>IF(BID!I40="","",BID!I40)</f>
        <v/>
      </c>
      <c r="J40" s="403" t="str">
        <f>IF(BID!J40="","",BID!J40)</f>
        <v/>
      </c>
      <c r="K40" s="404" t="str">
        <f>IF(BID!K40="","",BID!K40)</f>
        <v/>
      </c>
      <c r="L40" s="217" t="str">
        <f>IF(BID!L40="","",BID!L40)</f>
        <v/>
      </c>
      <c r="M40" s="404" t="str">
        <f>IF(BID!M40="","",BID!M40)</f>
        <v xml:space="preserve"> </v>
      </c>
      <c r="N40" s="404" t="str">
        <f>IF(BID!N40="","",BID!N40)</f>
        <v/>
      </c>
      <c r="O40" s="217" t="str">
        <f>IF(BID!O40="","",BID!O40)</f>
        <v/>
      </c>
      <c r="P40" s="404" t="str">
        <f>IF(BID!P40="","",BID!P40)</f>
        <v/>
      </c>
      <c r="Q40" s="404" t="str">
        <f>IF(BID!Q40="","",BID!Q40)</f>
        <v/>
      </c>
      <c r="R40" s="405" t="str">
        <f>IF(BID!R40="","",BID!R40)</f>
        <v/>
      </c>
      <c r="S40" s="406" t="str">
        <f>IF(BID!S40="","",BID!S40)</f>
        <v/>
      </c>
      <c r="U40" s="379" t="str">
        <f t="shared" si="3"/>
        <v>-NA</v>
      </c>
    </row>
    <row r="41" spans="1:148" outlineLevel="1" x14ac:dyDescent="0.2">
      <c r="A41" s="190" t="str">
        <f>IF(BID!A41="","",BID!A41)</f>
        <v/>
      </c>
      <c r="B41" s="190" t="str">
        <f>IF(BID!B41="","",BID!B41)</f>
        <v/>
      </c>
      <c r="C41" s="137"/>
      <c r="D41" s="400" t="str">
        <f>IF(BID!D41="","",BID!D41)</f>
        <v/>
      </c>
      <c r="E41" s="401" t="str">
        <f>IF(BID!E41="","",BID!E41)</f>
        <v/>
      </c>
      <c r="F41" s="401" t="str">
        <f>IF(BID!F41="","",BID!F41)</f>
        <v/>
      </c>
      <c r="G41" s="402" t="str">
        <f>IF(BID!G41="","",BID!G41)</f>
        <v/>
      </c>
      <c r="H41" s="403" t="str">
        <f>IF(BID!H41="","",BID!H41)</f>
        <v/>
      </c>
      <c r="I41" s="403" t="str">
        <f>IF(BID!I41="","",BID!I41)</f>
        <v/>
      </c>
      <c r="J41" s="403" t="str">
        <f>IF(BID!J41="","",BID!J41)</f>
        <v/>
      </c>
      <c r="K41" s="404" t="str">
        <f>IF(BID!K41="","",BID!K41)</f>
        <v/>
      </c>
      <c r="L41" s="217" t="str">
        <f>IF(BID!L41="","",BID!L41)</f>
        <v/>
      </c>
      <c r="M41" s="404" t="str">
        <f>IF(BID!M41="","",BID!M41)</f>
        <v xml:space="preserve"> </v>
      </c>
      <c r="N41" s="404" t="str">
        <f>IF(BID!N41="","",BID!N41)</f>
        <v/>
      </c>
      <c r="O41" s="217" t="str">
        <f>IF(BID!O41="","",BID!O41)</f>
        <v/>
      </c>
      <c r="P41" s="404" t="str">
        <f>IF(BID!P41="","",BID!P41)</f>
        <v/>
      </c>
      <c r="Q41" s="404" t="str">
        <f>IF(BID!Q41="","",BID!Q41)</f>
        <v/>
      </c>
      <c r="R41" s="405" t="str">
        <f>IF(BID!R41="","",BID!R41)</f>
        <v/>
      </c>
      <c r="S41" s="406" t="str">
        <f>IF(BID!S41="","",BID!S41)</f>
        <v/>
      </c>
      <c r="U41" s="379" t="str">
        <f t="shared" si="3"/>
        <v>-NA</v>
      </c>
    </row>
    <row r="42" spans="1:148" s="409" customFormat="1" ht="13.5" outlineLevel="1" thickBot="1" x14ac:dyDescent="0.25">
      <c r="A42" s="190" t="str">
        <f>IF(BID!A42="","",BID!A42)</f>
        <v/>
      </c>
      <c r="B42" s="190" t="str">
        <f>IF(BID!B42="","",BID!B42)</f>
        <v/>
      </c>
      <c r="C42" s="408"/>
      <c r="D42" s="400" t="str">
        <f>IF(BID!D42="","",BID!D42)</f>
        <v/>
      </c>
      <c r="E42" s="401" t="str">
        <f>IF(BID!E42="","",BID!E42)</f>
        <v/>
      </c>
      <c r="F42" s="401" t="str">
        <f>IF(BID!F42="","",BID!F42)</f>
        <v/>
      </c>
      <c r="G42" s="402" t="str">
        <f>IF(BID!G42="","",BID!G42)</f>
        <v/>
      </c>
      <c r="H42" s="403" t="str">
        <f>IF(BID!H42="","",BID!H42)</f>
        <v/>
      </c>
      <c r="I42" s="403" t="str">
        <f>IF(BID!I42="","",BID!I42)</f>
        <v/>
      </c>
      <c r="J42" s="403" t="str">
        <f>IF(BID!J42="","",BID!J42)</f>
        <v/>
      </c>
      <c r="K42" s="404" t="str">
        <f>IF(BID!K42="","",BID!K42)</f>
        <v/>
      </c>
      <c r="L42" s="217" t="str">
        <f>IF(BID!L42="","",BID!L42)</f>
        <v/>
      </c>
      <c r="M42" s="404" t="str">
        <f>IF(BID!M42="","",BID!M42)</f>
        <v xml:space="preserve"> </v>
      </c>
      <c r="N42" s="404" t="str">
        <f>IF(BID!N42="","",BID!N42)</f>
        <v/>
      </c>
      <c r="O42" s="217" t="str">
        <f>IF(BID!O42="","",BID!O42)</f>
        <v/>
      </c>
      <c r="P42" s="404" t="str">
        <f>IF(BID!P42="","",BID!P42)</f>
        <v/>
      </c>
      <c r="Q42" s="404" t="str">
        <f>IF(BID!Q42="","",BID!Q42)</f>
        <v/>
      </c>
      <c r="R42" s="405" t="str">
        <f>IF(BID!R42="","",BID!R42)</f>
        <v/>
      </c>
      <c r="S42" s="406" t="str">
        <f>IF(BID!S42="","",BID!S42)</f>
        <v/>
      </c>
      <c r="T42" s="419"/>
      <c r="U42" s="379" t="str">
        <f t="shared" si="3"/>
        <v>-NA</v>
      </c>
      <c r="V42" s="380"/>
      <c r="W42" s="96"/>
      <c r="X42" s="96"/>
      <c r="Y42" s="96"/>
      <c r="Z42" s="96"/>
      <c r="AA42" s="96"/>
      <c r="AB42" s="96"/>
      <c r="AC42" s="96"/>
      <c r="AD42" s="96"/>
      <c r="AE42" s="96"/>
      <c r="AF42" s="96"/>
      <c r="AG42" s="96"/>
      <c r="AH42" s="96"/>
      <c r="AI42" s="96"/>
      <c r="AJ42" s="96"/>
      <c r="AK42" s="96"/>
      <c r="AL42" s="96"/>
      <c r="AM42" s="96"/>
      <c r="AN42" s="96"/>
      <c r="AO42" s="96"/>
      <c r="AP42" s="96"/>
      <c r="AQ42" s="96"/>
      <c r="AR42" s="96"/>
      <c r="AS42" s="96"/>
      <c r="AT42" s="96"/>
      <c r="AU42" s="96"/>
      <c r="AV42" s="96"/>
      <c r="AW42" s="96"/>
      <c r="AX42" s="96"/>
      <c r="AY42" s="96"/>
      <c r="AZ42" s="96"/>
      <c r="BA42" s="96"/>
      <c r="BB42" s="96"/>
      <c r="BC42" s="96"/>
      <c r="BD42" s="96"/>
      <c r="BE42" s="96"/>
      <c r="BF42" s="96"/>
      <c r="BG42" s="96"/>
      <c r="BH42" s="96"/>
      <c r="BI42" s="96"/>
      <c r="BJ42" s="96"/>
      <c r="BK42" s="96"/>
      <c r="BL42" s="96"/>
      <c r="BM42" s="96"/>
      <c r="BN42" s="96"/>
      <c r="BO42" s="96"/>
      <c r="BP42" s="96"/>
      <c r="BQ42" s="96"/>
      <c r="BR42" s="96"/>
      <c r="BS42" s="96"/>
      <c r="BT42" s="96"/>
      <c r="BU42" s="96"/>
      <c r="BV42" s="96"/>
      <c r="BW42" s="96"/>
      <c r="BX42" s="96"/>
      <c r="BY42" s="96"/>
      <c r="BZ42" s="96"/>
      <c r="CA42" s="96"/>
      <c r="CB42" s="96"/>
      <c r="CC42" s="96"/>
      <c r="CD42" s="96"/>
      <c r="CE42" s="96"/>
      <c r="CF42" s="96"/>
      <c r="CG42" s="96"/>
      <c r="CH42" s="96"/>
      <c r="CI42" s="96"/>
      <c r="CJ42" s="96"/>
      <c r="CK42" s="96"/>
      <c r="CL42" s="96"/>
      <c r="CM42" s="96"/>
      <c r="CN42" s="96"/>
      <c r="CO42" s="96"/>
      <c r="CP42" s="96"/>
      <c r="CQ42" s="96"/>
      <c r="CR42" s="96"/>
      <c r="CS42" s="96"/>
      <c r="CT42" s="96"/>
      <c r="CU42" s="96"/>
      <c r="CV42" s="96"/>
      <c r="CW42" s="96"/>
      <c r="CX42" s="96"/>
      <c r="CY42" s="96"/>
      <c r="CZ42" s="96"/>
      <c r="DA42" s="96"/>
      <c r="DB42" s="96"/>
      <c r="DC42" s="96"/>
      <c r="DD42" s="96"/>
      <c r="DE42" s="96"/>
      <c r="DF42" s="96"/>
      <c r="DG42" s="96"/>
      <c r="DH42" s="96"/>
      <c r="DI42" s="96"/>
      <c r="DJ42" s="96"/>
      <c r="DK42" s="96"/>
      <c r="DL42" s="96"/>
      <c r="DM42" s="96"/>
      <c r="DN42" s="96"/>
      <c r="DO42" s="96"/>
      <c r="DP42" s="96"/>
      <c r="DQ42" s="96"/>
      <c r="DR42" s="96"/>
      <c r="DS42" s="96"/>
      <c r="DT42" s="96"/>
      <c r="DU42" s="96"/>
      <c r="DV42" s="96"/>
      <c r="DW42" s="96"/>
      <c r="DX42" s="96"/>
      <c r="DY42" s="96"/>
      <c r="DZ42" s="96"/>
      <c r="EA42" s="96"/>
      <c r="EB42" s="96"/>
      <c r="EC42" s="96"/>
      <c r="ED42" s="96"/>
      <c r="EE42" s="96"/>
      <c r="EF42" s="96"/>
      <c r="EG42" s="96"/>
      <c r="EH42" s="96"/>
      <c r="EI42" s="96"/>
      <c r="EJ42" s="96"/>
      <c r="EK42" s="96"/>
      <c r="EL42" s="96"/>
      <c r="EM42" s="96"/>
      <c r="EN42" s="96"/>
      <c r="EO42" s="96"/>
      <c r="EP42" s="96"/>
      <c r="EQ42" s="96"/>
      <c r="ER42" s="96"/>
    </row>
    <row r="43" spans="1:148" x14ac:dyDescent="0.2">
      <c r="A43" s="387" t="s">
        <v>13</v>
      </c>
      <c r="H43" s="411">
        <f>SUM(H36:H42)</f>
        <v>0</v>
      </c>
      <c r="I43" s="411">
        <f>SUM(I36:I42)</f>
        <v>0</v>
      </c>
      <c r="J43" s="33"/>
      <c r="K43" s="412">
        <f>SUM(K36:K42)</f>
        <v>0</v>
      </c>
      <c r="L43" s="215"/>
      <c r="M43" s="215">
        <f>SUM(M36:M42)</f>
        <v>0</v>
      </c>
      <c r="N43" s="412">
        <f>SUM(N36:N42)</f>
        <v>0</v>
      </c>
      <c r="P43" s="215">
        <f>SUM(P36:P42)</f>
        <v>0</v>
      </c>
      <c r="Q43" s="412">
        <f>SUM(Q36:Q42)</f>
        <v>0</v>
      </c>
      <c r="R43" s="413">
        <f>IF(ISBLANK(A43),"",IF(P43&gt;0,Q43/P43,0))</f>
        <v>0</v>
      </c>
      <c r="S43" s="51">
        <f>IF(ISBLANK(A43),"",IF(K43&gt;0,1-P43/K43,1))</f>
        <v>1</v>
      </c>
    </row>
    <row r="44" spans="1:148" x14ac:dyDescent="0.2">
      <c r="J44" s="33"/>
      <c r="K44" s="412"/>
      <c r="L44" s="215"/>
      <c r="M44" s="215"/>
      <c r="N44" s="412"/>
      <c r="P44" s="215"/>
      <c r="Q44" s="412"/>
    </row>
    <row r="45" spans="1:148" x14ac:dyDescent="0.2">
      <c r="A45" s="387" t="s">
        <v>14</v>
      </c>
      <c r="H45" s="420">
        <f>BID!H45</f>
        <v>0</v>
      </c>
      <c r="I45" s="421">
        <f>BID!I45</f>
        <v>0</v>
      </c>
      <c r="J45" s="33"/>
      <c r="K45" s="420">
        <f>BID!K45</f>
        <v>0</v>
      </c>
      <c r="L45" s="215"/>
      <c r="M45" s="420">
        <f>BID!M45</f>
        <v>0</v>
      </c>
      <c r="N45" s="420">
        <f>BID!N45</f>
        <v>0</v>
      </c>
      <c r="P45" s="420">
        <f>BID!P45</f>
        <v>0</v>
      </c>
      <c r="Q45" s="420">
        <f>BID!Q45</f>
        <v>0</v>
      </c>
      <c r="R45" s="413">
        <f>BID!R43</f>
        <v>0</v>
      </c>
      <c r="S45" s="413">
        <f>BID!S43</f>
        <v>1</v>
      </c>
    </row>
    <row r="46" spans="1:148" x14ac:dyDescent="0.2">
      <c r="A46" s="387" t="s">
        <v>165</v>
      </c>
      <c r="H46" s="420">
        <f>BID!H46</f>
        <v>0</v>
      </c>
      <c r="I46" s="421">
        <f>BID!I46</f>
        <v>0</v>
      </c>
      <c r="J46" s="33"/>
      <c r="K46" s="420">
        <f>BID!K46</f>
        <v>0</v>
      </c>
      <c r="L46" s="215"/>
      <c r="M46" s="420">
        <f>BID!M46</f>
        <v>0</v>
      </c>
      <c r="N46" s="420">
        <f>BID!N46</f>
        <v>0</v>
      </c>
      <c r="P46" s="420">
        <f>BID!P46</f>
        <v>0</v>
      </c>
      <c r="Q46" s="420">
        <f>BID!Q46</f>
        <v>0</v>
      </c>
      <c r="R46" s="413">
        <f>BID!R44</f>
        <v>0</v>
      </c>
      <c r="S46" s="413">
        <f>BID!S44</f>
        <v>0</v>
      </c>
    </row>
    <row r="47" spans="1:148" x14ac:dyDescent="0.2">
      <c r="A47" s="387" t="s">
        <v>164</v>
      </c>
      <c r="H47" s="420">
        <f>BID!H47</f>
        <v>0</v>
      </c>
      <c r="I47" s="421">
        <f>BID!I47</f>
        <v>0</v>
      </c>
      <c r="J47" s="33"/>
      <c r="K47" s="420">
        <f>BID!K47</f>
        <v>0</v>
      </c>
      <c r="L47" s="215"/>
      <c r="M47" s="420">
        <f>BID!M47</f>
        <v>0</v>
      </c>
      <c r="N47" s="420">
        <f>BID!N47</f>
        <v>0</v>
      </c>
      <c r="P47" s="420">
        <f>BID!P47</f>
        <v>0</v>
      </c>
      <c r="Q47" s="420">
        <f>BID!Q47</f>
        <v>0</v>
      </c>
      <c r="R47" s="413" t="str">
        <f>BID!R45</f>
        <v/>
      </c>
      <c r="S47" s="413" t="str">
        <f>BID!S45</f>
        <v/>
      </c>
    </row>
    <row r="48" spans="1:148" x14ac:dyDescent="0.2">
      <c r="A48" s="387" t="s">
        <v>141</v>
      </c>
      <c r="H48" s="420">
        <f>BID!H48</f>
        <v>900</v>
      </c>
      <c r="I48" s="421">
        <f>BID!I48</f>
        <v>7200</v>
      </c>
      <c r="J48" s="33"/>
      <c r="K48" s="420">
        <f>BID!K48</f>
        <v>2412000</v>
      </c>
      <c r="L48" s="215"/>
      <c r="M48" s="420">
        <f>BID!M48</f>
        <v>988800</v>
      </c>
      <c r="N48" s="420">
        <f>BID!N48</f>
        <v>1423200</v>
      </c>
      <c r="P48" s="420">
        <f>BID!P48</f>
        <v>1032000</v>
      </c>
      <c r="Q48" s="420">
        <f>BID!Q48</f>
        <v>43200</v>
      </c>
      <c r="R48" s="413" t="str">
        <f>BID!R46</f>
        <v/>
      </c>
      <c r="S48" s="413" t="str">
        <f>BID!S46</f>
        <v/>
      </c>
    </row>
    <row r="49" spans="1:148" x14ac:dyDescent="0.2">
      <c r="A49" s="387"/>
      <c r="H49" s="422"/>
      <c r="I49" s="421"/>
      <c r="J49" s="33"/>
      <c r="K49" s="423"/>
      <c r="L49" s="215"/>
      <c r="M49" s="423"/>
      <c r="N49" s="423"/>
      <c r="P49" s="423"/>
      <c r="Q49" s="423"/>
      <c r="R49" s="413"/>
      <c r="S49" s="51"/>
    </row>
    <row r="50" spans="1:148" hidden="1" outlineLevel="1" x14ac:dyDescent="0.2">
      <c r="A50" s="392" t="s">
        <v>139</v>
      </c>
      <c r="B50" s="392"/>
      <c r="C50" s="392"/>
      <c r="D50" s="392"/>
      <c r="E50" s="393" t="s">
        <v>54</v>
      </c>
      <c r="F50" s="393" t="s">
        <v>55</v>
      </c>
      <c r="G50" s="393" t="s">
        <v>143</v>
      </c>
      <c r="H50" s="393" t="s">
        <v>20</v>
      </c>
      <c r="I50" s="394" t="s">
        <v>78</v>
      </c>
      <c r="J50" s="40" t="s">
        <v>10</v>
      </c>
      <c r="K50" s="393" t="s">
        <v>56</v>
      </c>
      <c r="L50" s="202"/>
      <c r="M50" s="202" t="s">
        <v>31</v>
      </c>
      <c r="N50" s="418" t="s">
        <v>21</v>
      </c>
      <c r="O50" s="40" t="s">
        <v>22</v>
      </c>
      <c r="P50" s="202" t="s">
        <v>58</v>
      </c>
      <c r="Q50" s="393" t="s">
        <v>32</v>
      </c>
      <c r="R50" s="393"/>
      <c r="S50" s="393"/>
    </row>
    <row r="51" spans="1:148" hidden="1" outlineLevel="1" x14ac:dyDescent="0.2">
      <c r="A51" s="190"/>
      <c r="B51" s="190"/>
      <c r="C51" s="190"/>
      <c r="D51" s="190"/>
      <c r="E51" s="401"/>
      <c r="F51" s="401"/>
      <c r="G51" s="402"/>
      <c r="H51" s="403" t="str">
        <f>IF(ISBLANK(A51),"",NETWORKDAYS(E51,F51)*G51)</f>
        <v/>
      </c>
      <c r="I51" s="424" t="str">
        <f>IF(ISBLANK(A51),"",H51*$B$9)</f>
        <v/>
      </c>
      <c r="J51" s="161">
        <v>0</v>
      </c>
      <c r="K51" s="404" t="str">
        <f>IF(ISBLANK(A51),"",I51*J51)</f>
        <v/>
      </c>
      <c r="L51" s="209">
        <v>0</v>
      </c>
      <c r="M51" s="217" t="str">
        <f>IF(ISBLANK(A51)," ",(L51*H51*$B$9))</f>
        <v xml:space="preserve"> </v>
      </c>
      <c r="N51" s="404" t="str">
        <f>IF(ISBLANK(A51),"",(J51*H51*8)-M51)</f>
        <v/>
      </c>
      <c r="O51" s="161">
        <v>0</v>
      </c>
      <c r="P51" s="217" t="str">
        <f>IF(ISBLANK(A51),"",H51*O51*$B$9)</f>
        <v/>
      </c>
      <c r="Q51" s="404" t="str">
        <f>IF(ISBLANK(A51),"",P51-M51)</f>
        <v/>
      </c>
      <c r="R51" s="405"/>
      <c r="S51" s="406"/>
      <c r="T51" s="379"/>
      <c r="U51" s="379" t="str">
        <f>IF(ISBLANK(A51),"",CONCATENATE(C51,"-",$B$5))</f>
        <v/>
      </c>
      <c r="Y51" s="399"/>
    </row>
    <row r="52" spans="1:148" hidden="1" outlineLevel="1" x14ac:dyDescent="0.2">
      <c r="A52" s="190"/>
      <c r="B52" s="190"/>
      <c r="C52" s="190"/>
      <c r="D52" s="190"/>
      <c r="E52" s="401"/>
      <c r="F52" s="401"/>
      <c r="G52" s="402"/>
      <c r="H52" s="403" t="str">
        <f>IF(ISBLANK(A52),"",NETWORKDAYS(E52,F52)*G52)</f>
        <v/>
      </c>
      <c r="I52" s="424" t="str">
        <f>IF(ISBLANK(A52),"",H52*$B$9)</f>
        <v/>
      </c>
      <c r="J52" s="161">
        <v>0</v>
      </c>
      <c r="K52" s="404" t="str">
        <f>IF(ISBLANK(A52),"",I52*J52)</f>
        <v/>
      </c>
      <c r="L52" s="209">
        <v>0</v>
      </c>
      <c r="M52" s="217" t="str">
        <f>IF(ISBLANK(A52)," ",(L52*H52*$B$9))</f>
        <v xml:space="preserve"> </v>
      </c>
      <c r="N52" s="404" t="str">
        <f>IF(ISBLANK(A52),"",K52-M52)</f>
        <v/>
      </c>
      <c r="O52" s="161">
        <v>0</v>
      </c>
      <c r="P52" s="217" t="str">
        <f>IF(ISBLANK(A52),"",H52*O52*$B$9)</f>
        <v/>
      </c>
      <c r="Q52" s="404" t="str">
        <f>IF(ISBLANK(A52),"",P52-M52)</f>
        <v/>
      </c>
      <c r="R52" s="405"/>
      <c r="S52" s="406"/>
      <c r="T52" s="379"/>
      <c r="U52" s="379" t="str">
        <f>IF(ISBLANK(A52),"",CONCATENATE(C52,"-",$B$5))</f>
        <v/>
      </c>
    </row>
    <row r="53" spans="1:148" hidden="1" outlineLevel="1" x14ac:dyDescent="0.2">
      <c r="A53" s="190"/>
      <c r="B53" s="190"/>
      <c r="C53" s="190"/>
      <c r="D53" s="190"/>
      <c r="E53" s="401"/>
      <c r="F53" s="401"/>
      <c r="G53" s="402"/>
      <c r="H53" s="403" t="str">
        <f>IF(ISBLANK(A53),"",NETWORKDAYS(E53,F53)*G53)</f>
        <v/>
      </c>
      <c r="I53" s="424" t="str">
        <f>IF(ISBLANK(A53),"",H53*$B$9)</f>
        <v/>
      </c>
      <c r="J53" s="161">
        <v>0</v>
      </c>
      <c r="K53" s="404" t="str">
        <f>IF(ISBLANK(A53),"",I53*J53)</f>
        <v/>
      </c>
      <c r="L53" s="209">
        <v>0</v>
      </c>
      <c r="M53" s="217" t="str">
        <f>IF(ISBLANK(A53)," ",(L53*H53*$B$9))</f>
        <v xml:space="preserve"> </v>
      </c>
      <c r="N53" s="404" t="str">
        <f>IF(ISBLANK(A53),"",K53-M53)</f>
        <v/>
      </c>
      <c r="O53" s="161">
        <v>0</v>
      </c>
      <c r="P53" s="217" t="str">
        <f>IF(ISBLANK(A53),"",H53*O53*$B$9)</f>
        <v/>
      </c>
      <c r="Q53" s="404" t="str">
        <f>IF(ISBLANK(A53),"",P53-M53)</f>
        <v/>
      </c>
      <c r="R53" s="405" t="str">
        <f>IF(ISBLANK(A53),"",Q53/P53)</f>
        <v/>
      </c>
      <c r="S53" s="406" t="str">
        <f>IF(ISBLANK(A53),"",1-P53/K53)</f>
        <v/>
      </c>
      <c r="T53" s="379"/>
      <c r="U53" s="379" t="str">
        <f>IF(ISBLANK(A53),"",CONCATENATE(C53,"-",$B$5))</f>
        <v/>
      </c>
    </row>
    <row r="54" spans="1:148" hidden="1" outlineLevel="1" x14ac:dyDescent="0.2">
      <c r="A54" s="190"/>
      <c r="B54" s="190"/>
      <c r="C54" s="190"/>
      <c r="D54" s="190"/>
      <c r="E54" s="401"/>
      <c r="F54" s="401"/>
      <c r="G54" s="402"/>
      <c r="H54" s="403" t="str">
        <f>IF(ISBLANK(A54),"",NETWORKDAYS(E54,F54)*G54)</f>
        <v/>
      </c>
      <c r="I54" s="424" t="str">
        <f>IF(ISBLANK(A54),"",H54*$B$9)</f>
        <v/>
      </c>
      <c r="J54" s="161">
        <v>0</v>
      </c>
      <c r="K54" s="404" t="str">
        <f>IF(ISBLANK(A54),"",I54*J54)</f>
        <v/>
      </c>
      <c r="L54" s="209">
        <v>0</v>
      </c>
      <c r="M54" s="217" t="str">
        <f>IF(ISBLANK(A54)," ",(L54*H54*$B$9))</f>
        <v xml:space="preserve"> </v>
      </c>
      <c r="N54" s="404" t="str">
        <f>IF(ISBLANK(A54),"",K54-M54)</f>
        <v/>
      </c>
      <c r="O54" s="161">
        <v>0</v>
      </c>
      <c r="P54" s="217" t="str">
        <f>IF(ISBLANK(A54),"",H54*O54*$B$9)</f>
        <v/>
      </c>
      <c r="Q54" s="404" t="str">
        <f>IF(ISBLANK(A54),"",P54-M54)</f>
        <v/>
      </c>
      <c r="R54" s="405" t="str">
        <f>IF(ISBLANK(A54),"",Q54/P54)</f>
        <v/>
      </c>
      <c r="S54" s="406" t="str">
        <f>IF(ISBLANK(A54),"",1-P54/K54)</f>
        <v/>
      </c>
      <c r="T54" s="379"/>
      <c r="U54" s="379" t="str">
        <f>IF(ISBLANK(A54),"",CONCATENATE(C54,"-",$B$5))</f>
        <v/>
      </c>
    </row>
    <row r="55" spans="1:148" ht="13.5" hidden="1" outlineLevel="1" thickBot="1" x14ac:dyDescent="0.25">
      <c r="A55" s="408"/>
      <c r="B55" s="408"/>
      <c r="C55" s="408"/>
      <c r="D55" s="408"/>
      <c r="E55" s="425"/>
      <c r="F55" s="425"/>
      <c r="G55" s="426"/>
      <c r="H55" s="427" t="str">
        <f>IF(ISBLANK(A55),"",NETWORKDAYS(E55,F55)*G55)</f>
        <v/>
      </c>
      <c r="I55" s="428" t="str">
        <f>IF(ISBLANK(A55),"",H55*$B$9)</f>
        <v/>
      </c>
      <c r="J55" s="168">
        <v>0</v>
      </c>
      <c r="K55" s="429" t="str">
        <f>IF(ISBLANK(A55),"",I55*J55)</f>
        <v/>
      </c>
      <c r="L55" s="210">
        <v>0</v>
      </c>
      <c r="M55" s="216" t="str">
        <f>IF(ISBLANK(A55)," ",(L55*H55*$B$9))</f>
        <v xml:space="preserve"> </v>
      </c>
      <c r="N55" s="429" t="str">
        <f>IF(ISBLANK(A55),"",K55-M55)</f>
        <v/>
      </c>
      <c r="O55" s="168">
        <v>0</v>
      </c>
      <c r="P55" s="216" t="str">
        <f>IF(ISBLANK(A55),"",H55*O55*$B$9)</f>
        <v/>
      </c>
      <c r="Q55" s="429" t="str">
        <f>IF(ISBLANK(A55),"",P55-M55)</f>
        <v/>
      </c>
      <c r="R55" s="430" t="str">
        <f>IF(ISBLANK(A55),"",Q55/P55)</f>
        <v/>
      </c>
      <c r="S55" s="431" t="str">
        <f>IF(ISBLANK(A55),"",1-P55/K55)</f>
        <v/>
      </c>
      <c r="T55" s="419"/>
      <c r="U55" s="379" t="str">
        <f>IF(ISBLANK(A55),"",CONCATENATE(C55,"-",$B$5))</f>
        <v/>
      </c>
    </row>
    <row r="56" spans="1:148" hidden="1" x14ac:dyDescent="0.2">
      <c r="A56" s="387" t="s">
        <v>140</v>
      </c>
      <c r="H56" s="422">
        <f>SUM(H51:H55)</f>
        <v>0</v>
      </c>
      <c r="I56" s="422">
        <f>SUM(I51:I55)</f>
        <v>0</v>
      </c>
      <c r="J56" s="33"/>
      <c r="K56" s="423"/>
      <c r="L56" s="215"/>
      <c r="M56" s="423"/>
      <c r="N56" s="423"/>
      <c r="P56" s="423"/>
      <c r="Q56" s="423"/>
      <c r="R56" s="413"/>
      <c r="S56" s="51"/>
    </row>
    <row r="57" spans="1:148" hidden="1" x14ac:dyDescent="0.2">
      <c r="A57" s="387"/>
      <c r="H57" s="422"/>
      <c r="I57" s="421"/>
      <c r="J57" s="33"/>
      <c r="K57" s="432"/>
      <c r="L57" s="215"/>
      <c r="M57" s="423"/>
      <c r="N57" s="423"/>
      <c r="P57" s="432"/>
      <c r="Q57" s="423"/>
      <c r="R57" s="413" t="str">
        <f>IF(H57=0,"",Q57/P57)</f>
        <v/>
      </c>
      <c r="S57" s="51" t="str">
        <f>IF(H57=0,"",1-P57/K57)</f>
        <v/>
      </c>
    </row>
    <row r="58" spans="1:148" s="409" customFormat="1" x14ac:dyDescent="0.2">
      <c r="A58" s="392" t="s">
        <v>16</v>
      </c>
      <c r="I58" s="433"/>
      <c r="J58" s="434"/>
      <c r="K58" s="435"/>
      <c r="L58" s="436"/>
      <c r="M58" s="436">
        <f>BID!M58</f>
        <v>0</v>
      </c>
      <c r="N58" s="435"/>
      <c r="O58" s="434"/>
      <c r="P58" s="436">
        <f>BID!P58</f>
        <v>0</v>
      </c>
      <c r="Q58" s="435"/>
      <c r="R58" s="437"/>
      <c r="T58" s="438"/>
      <c r="U58" s="379"/>
      <c r="V58" s="380"/>
      <c r="W58" s="96"/>
      <c r="X58" s="96"/>
      <c r="Y58" s="96"/>
      <c r="Z58" s="96"/>
      <c r="AA58" s="96"/>
      <c r="AB58" s="96"/>
      <c r="AC58" s="96"/>
      <c r="AD58" s="96"/>
      <c r="AE58" s="96"/>
      <c r="AF58" s="96"/>
      <c r="AG58" s="96"/>
      <c r="AH58" s="96"/>
      <c r="AI58" s="96"/>
      <c r="AJ58" s="96"/>
      <c r="AK58" s="96"/>
      <c r="AL58" s="96"/>
      <c r="AM58" s="96"/>
      <c r="AN58" s="96"/>
      <c r="AO58" s="96"/>
      <c r="AP58" s="96"/>
      <c r="AQ58" s="96"/>
      <c r="AR58" s="96"/>
      <c r="AS58" s="96"/>
      <c r="AT58" s="96"/>
      <c r="AU58" s="96"/>
      <c r="AV58" s="96"/>
      <c r="AW58" s="96"/>
      <c r="AX58" s="96"/>
      <c r="AY58" s="96"/>
      <c r="AZ58" s="96"/>
      <c r="BA58" s="96"/>
      <c r="BB58" s="96"/>
      <c r="BC58" s="96"/>
      <c r="BD58" s="96"/>
      <c r="BE58" s="96"/>
      <c r="BF58" s="96"/>
      <c r="BG58" s="96"/>
      <c r="BH58" s="96"/>
      <c r="BI58" s="96"/>
      <c r="BJ58" s="96"/>
      <c r="BK58" s="96"/>
      <c r="BL58" s="96"/>
      <c r="BM58" s="96"/>
      <c r="BN58" s="96"/>
      <c r="BO58" s="96"/>
      <c r="BP58" s="96"/>
      <c r="BQ58" s="96"/>
      <c r="BR58" s="96"/>
      <c r="BS58" s="96"/>
      <c r="BT58" s="96"/>
      <c r="BU58" s="96"/>
      <c r="BV58" s="96"/>
      <c r="BW58" s="96"/>
      <c r="BX58" s="96"/>
      <c r="BY58" s="96"/>
      <c r="BZ58" s="96"/>
      <c r="CA58" s="96"/>
      <c r="CB58" s="96"/>
      <c r="CC58" s="96"/>
      <c r="CD58" s="96"/>
      <c r="CE58" s="96"/>
      <c r="CF58" s="96"/>
      <c r="CG58" s="96"/>
      <c r="CH58" s="96"/>
      <c r="CI58" s="96"/>
      <c r="CJ58" s="96"/>
      <c r="CK58" s="96"/>
      <c r="CL58" s="96"/>
      <c r="CM58" s="96"/>
      <c r="CN58" s="96"/>
      <c r="CO58" s="96"/>
      <c r="CP58" s="96"/>
      <c r="CQ58" s="96"/>
      <c r="CR58" s="96"/>
      <c r="CS58" s="96"/>
      <c r="CT58" s="96"/>
      <c r="CU58" s="96"/>
      <c r="CV58" s="96"/>
      <c r="CW58" s="96"/>
      <c r="CX58" s="96"/>
      <c r="CY58" s="96"/>
      <c r="CZ58" s="96"/>
      <c r="DA58" s="96"/>
      <c r="DB58" s="96"/>
      <c r="DC58" s="96"/>
      <c r="DD58" s="96"/>
      <c r="DE58" s="96"/>
      <c r="DF58" s="96"/>
      <c r="DG58" s="96"/>
      <c r="DH58" s="96"/>
      <c r="DI58" s="96"/>
      <c r="DJ58" s="96"/>
      <c r="DK58" s="96"/>
      <c r="DL58" s="96"/>
      <c r="DM58" s="96"/>
      <c r="DN58" s="96"/>
      <c r="DO58" s="96"/>
      <c r="DP58" s="96"/>
      <c r="DQ58" s="96"/>
      <c r="DR58" s="96"/>
      <c r="DS58" s="96"/>
      <c r="DT58" s="96"/>
      <c r="DU58" s="96"/>
      <c r="DV58" s="96"/>
      <c r="DW58" s="96"/>
      <c r="DX58" s="96"/>
      <c r="DY58" s="96"/>
      <c r="DZ58" s="96"/>
      <c r="EA58" s="96"/>
      <c r="EB58" s="96"/>
      <c r="EC58" s="96"/>
      <c r="ED58" s="96"/>
      <c r="EE58" s="96"/>
      <c r="EF58" s="96"/>
      <c r="EG58" s="96"/>
      <c r="EH58" s="96"/>
      <c r="EI58" s="96"/>
      <c r="EJ58" s="96"/>
      <c r="EK58" s="96"/>
      <c r="EL58" s="96"/>
      <c r="EM58" s="96"/>
      <c r="EN58" s="96"/>
      <c r="EO58" s="96"/>
      <c r="EP58" s="96"/>
      <c r="EQ58" s="96"/>
      <c r="ER58" s="96"/>
    </row>
    <row r="59" spans="1:148" ht="15.75" x14ac:dyDescent="0.25">
      <c r="A59" s="439" t="s">
        <v>17</v>
      </c>
      <c r="H59" s="411">
        <f>H48+H56</f>
        <v>900</v>
      </c>
      <c r="I59" s="411">
        <f>I48+I56</f>
        <v>7200</v>
      </c>
      <c r="J59" s="33"/>
      <c r="K59" s="412">
        <f>K48</f>
        <v>2412000</v>
      </c>
      <c r="L59" s="215"/>
      <c r="M59" s="215">
        <f>M48+M58</f>
        <v>988800</v>
      </c>
      <c r="N59" s="412">
        <f>N48</f>
        <v>1423200</v>
      </c>
      <c r="P59" s="215">
        <f>P48+P58</f>
        <v>1032000</v>
      </c>
      <c r="Q59" s="412">
        <f>Q48</f>
        <v>43200</v>
      </c>
      <c r="R59" s="413" t="str">
        <f>BID!R57</f>
        <v/>
      </c>
      <c r="S59" s="413" t="str">
        <f>BID!S57</f>
        <v/>
      </c>
    </row>
    <row r="60" spans="1:148" ht="4.5" customHeight="1" thickBot="1" x14ac:dyDescent="0.25">
      <c r="J60" s="33"/>
      <c r="K60" s="412"/>
      <c r="L60" s="215"/>
      <c r="M60" s="215"/>
      <c r="N60" s="412"/>
      <c r="P60" s="215"/>
      <c r="Q60" s="412"/>
    </row>
    <row r="61" spans="1:148" ht="15.75" customHeight="1" thickBot="1" x14ac:dyDescent="0.3">
      <c r="A61" s="63" t="s">
        <v>60</v>
      </c>
      <c r="B61" s="64"/>
      <c r="C61" s="64"/>
      <c r="D61" s="64"/>
      <c r="E61" s="64"/>
      <c r="F61" s="64"/>
      <c r="G61" s="64"/>
      <c r="H61" s="65"/>
      <c r="I61" s="121"/>
      <c r="J61" s="66"/>
      <c r="K61" s="67"/>
      <c r="L61" s="212"/>
      <c r="M61" s="212"/>
      <c r="N61" s="67"/>
      <c r="O61" s="66"/>
      <c r="P61" s="440">
        <f>P59</f>
        <v>1032000</v>
      </c>
      <c r="Q61" s="67">
        <f>P61-M59</f>
        <v>43200</v>
      </c>
      <c r="R61" s="413">
        <f>BID!R59</f>
        <v>4.1860465116279069E-2</v>
      </c>
      <c r="S61" s="413">
        <f>BID!S59</f>
        <v>0.57213930348258701</v>
      </c>
    </row>
    <row r="62" spans="1:148" ht="6" customHeight="1" x14ac:dyDescent="0.2">
      <c r="J62" s="33"/>
      <c r="K62" s="412"/>
      <c r="L62" s="215"/>
      <c r="M62" s="215"/>
      <c r="N62" s="412"/>
      <c r="P62" s="215"/>
      <c r="Q62" s="412"/>
    </row>
    <row r="63" spans="1:148" outlineLevel="1" x14ac:dyDescent="0.2">
      <c r="A63" s="126" t="str">
        <f>IF($B$8="Estimate","Low Estimate","")</f>
        <v/>
      </c>
      <c r="H63" s="411">
        <f>H59*(1-$G$8)</f>
        <v>855</v>
      </c>
      <c r="I63" s="411">
        <f>I59*(1-$G$8)</f>
        <v>6840</v>
      </c>
      <c r="J63" s="33"/>
      <c r="K63" s="412">
        <f>K59*(1-$G$8)</f>
        <v>2291400</v>
      </c>
      <c r="L63" s="215"/>
      <c r="M63" s="215">
        <f>M59*(1-$G$8)</f>
        <v>939360</v>
      </c>
      <c r="N63" s="412">
        <f>N59*(1-$G$8)</f>
        <v>1352040</v>
      </c>
      <c r="O63" s="385"/>
      <c r="P63" s="215">
        <f>P59*(1-$G$8)</f>
        <v>980400</v>
      </c>
      <c r="Q63" s="412">
        <f>Q59*(1-$G$8)</f>
        <v>41040</v>
      </c>
      <c r="R63" s="413">
        <f>IF(ISBLANK(A63),"",IF(P63&gt;0,Q63/P63,0))</f>
        <v>4.1860465116279069E-2</v>
      </c>
      <c r="S63" s="51"/>
    </row>
    <row r="64" spans="1:148" outlineLevel="1" x14ac:dyDescent="0.2">
      <c r="A64" s="126" t="str">
        <f>IF($B$8="Estimate","High Estimate","")</f>
        <v/>
      </c>
      <c r="H64" s="411">
        <f>H59*(1+$G$9)</f>
        <v>1080</v>
      </c>
      <c r="I64" s="411">
        <f>I59*(1+$G$9)</f>
        <v>8640</v>
      </c>
      <c r="J64" s="33"/>
      <c r="K64" s="412">
        <f>K59*(1+$G$9)</f>
        <v>2894400</v>
      </c>
      <c r="L64" s="215"/>
      <c r="M64" s="215">
        <f>M59*(1+$G$9)</f>
        <v>1186560</v>
      </c>
      <c r="N64" s="412">
        <f>N59*(1+$G$9)</f>
        <v>1707840</v>
      </c>
      <c r="O64" s="385"/>
      <c r="P64" s="215">
        <f>P59*(1+$G$9)</f>
        <v>1238400</v>
      </c>
      <c r="Q64" s="412">
        <f>Q59*(1+$G$9)</f>
        <v>51840</v>
      </c>
      <c r="R64" s="413">
        <f>IF(ISBLANK(A64),"",IF(P64&gt;0,Q64/P64,0))</f>
        <v>4.1860465116279069E-2</v>
      </c>
      <c r="S64" s="51"/>
    </row>
    <row r="65" spans="8:10" x14ac:dyDescent="0.2">
      <c r="J65" s="33"/>
    </row>
    <row r="67" spans="8:10" x14ac:dyDescent="0.2">
      <c r="H67" s="420"/>
    </row>
    <row r="68" spans="8:10" x14ac:dyDescent="0.2">
      <c r="H68" s="420"/>
    </row>
    <row r="69" spans="8:10" x14ac:dyDescent="0.2">
      <c r="H69" s="420"/>
    </row>
    <row r="70" spans="8:10" x14ac:dyDescent="0.2">
      <c r="H70" s="420"/>
    </row>
    <row r="88" spans="1:148" s="219" customFormat="1" x14ac:dyDescent="0.2">
      <c r="A88" s="126"/>
      <c r="B88" s="126"/>
      <c r="C88" s="126"/>
      <c r="D88" s="126"/>
      <c r="E88" s="126"/>
      <c r="F88" s="126"/>
      <c r="G88" s="126"/>
      <c r="H88" s="420"/>
      <c r="J88" s="126"/>
      <c r="K88" s="126"/>
      <c r="L88" s="377"/>
      <c r="M88" s="377"/>
      <c r="N88" s="126"/>
      <c r="O88" s="33"/>
      <c r="P88" s="377"/>
      <c r="Q88" s="126"/>
      <c r="R88" s="126"/>
      <c r="S88" s="126"/>
      <c r="T88" s="378"/>
      <c r="U88" s="379"/>
      <c r="V88" s="380"/>
      <c r="W88" s="96"/>
      <c r="X88" s="96"/>
      <c r="Y88" s="96"/>
      <c r="Z88" s="96"/>
      <c r="AA88" s="96"/>
      <c r="AB88" s="96"/>
      <c r="AC88" s="96"/>
      <c r="AD88" s="96"/>
      <c r="AE88" s="96"/>
      <c r="AF88" s="96"/>
      <c r="AG88" s="96"/>
      <c r="AH88" s="96"/>
      <c r="AI88" s="96"/>
      <c r="AJ88" s="96"/>
      <c r="AK88" s="96"/>
      <c r="AL88" s="96"/>
      <c r="AM88" s="96"/>
      <c r="AN88" s="96"/>
      <c r="AO88" s="96"/>
      <c r="AP88" s="96"/>
      <c r="AQ88" s="96"/>
      <c r="AR88" s="96"/>
      <c r="AS88" s="96"/>
      <c r="AT88" s="96"/>
      <c r="AU88" s="96"/>
      <c r="AV88" s="96"/>
      <c r="AW88" s="96"/>
      <c r="AX88" s="96"/>
      <c r="AY88" s="96"/>
      <c r="AZ88" s="96"/>
      <c r="BA88" s="96"/>
      <c r="BB88" s="96"/>
      <c r="BC88" s="96"/>
      <c r="BD88" s="96"/>
      <c r="BE88" s="96"/>
      <c r="BF88" s="96"/>
      <c r="BG88" s="96"/>
      <c r="BH88" s="96"/>
      <c r="BI88" s="96"/>
      <c r="BJ88" s="96"/>
      <c r="BK88" s="96"/>
      <c r="BL88" s="96"/>
      <c r="BM88" s="96"/>
      <c r="BN88" s="96"/>
      <c r="BO88" s="96"/>
      <c r="BP88" s="96"/>
      <c r="BQ88" s="96"/>
      <c r="BR88" s="96"/>
      <c r="BS88" s="96"/>
      <c r="BT88" s="96"/>
      <c r="BU88" s="96"/>
      <c r="BV88" s="96"/>
      <c r="BW88" s="96"/>
      <c r="BX88" s="96"/>
      <c r="BY88" s="96"/>
      <c r="BZ88" s="96"/>
      <c r="CA88" s="96"/>
      <c r="CB88" s="96"/>
      <c r="CC88" s="96"/>
      <c r="CD88" s="96"/>
      <c r="CE88" s="96"/>
      <c r="CF88" s="96"/>
      <c r="CG88" s="96"/>
      <c r="CH88" s="96"/>
      <c r="CI88" s="96"/>
      <c r="CJ88" s="96"/>
      <c r="CK88" s="96"/>
      <c r="CL88" s="96"/>
      <c r="CM88" s="96"/>
      <c r="CN88" s="96"/>
      <c r="CO88" s="96"/>
      <c r="CP88" s="96"/>
      <c r="CQ88" s="96"/>
      <c r="CR88" s="96"/>
      <c r="CS88" s="96"/>
      <c r="CT88" s="96"/>
      <c r="CU88" s="96"/>
      <c r="CV88" s="96"/>
      <c r="CW88" s="96"/>
      <c r="CX88" s="96"/>
      <c r="CY88" s="96"/>
      <c r="CZ88" s="96"/>
      <c r="DA88" s="96"/>
      <c r="DB88" s="96"/>
      <c r="DC88" s="96"/>
      <c r="DD88" s="96"/>
      <c r="DE88" s="96"/>
      <c r="DF88" s="96"/>
      <c r="DG88" s="96"/>
      <c r="DH88" s="96"/>
      <c r="DI88" s="96"/>
      <c r="DJ88" s="96"/>
      <c r="DK88" s="96"/>
      <c r="DL88" s="96"/>
      <c r="DM88" s="96"/>
      <c r="DN88" s="96"/>
      <c r="DO88" s="96"/>
      <c r="DP88" s="96"/>
      <c r="DQ88" s="96"/>
      <c r="DR88" s="96"/>
      <c r="DS88" s="96"/>
      <c r="DT88" s="96"/>
      <c r="DU88" s="96"/>
      <c r="DV88" s="96"/>
      <c r="DW88" s="96"/>
      <c r="DX88" s="96"/>
      <c r="DY88" s="96"/>
      <c r="DZ88" s="96"/>
      <c r="EA88" s="96"/>
      <c r="EB88" s="96"/>
      <c r="EC88" s="96"/>
      <c r="ED88" s="96"/>
      <c r="EE88" s="96"/>
      <c r="EF88" s="96"/>
      <c r="EG88" s="96"/>
      <c r="EH88" s="96"/>
      <c r="EI88" s="96"/>
      <c r="EJ88" s="96"/>
      <c r="EK88" s="96"/>
      <c r="EL88" s="96"/>
      <c r="EM88" s="96"/>
      <c r="EN88" s="96"/>
      <c r="EO88" s="96"/>
      <c r="EP88" s="96"/>
      <c r="EQ88" s="96"/>
      <c r="ER88" s="96"/>
    </row>
    <row r="89" spans="1:148" s="219" customFormat="1" x14ac:dyDescent="0.2">
      <c r="A89" s="126"/>
      <c r="B89" s="126"/>
      <c r="C89" s="126"/>
      <c r="D89" s="126"/>
      <c r="E89" s="126"/>
      <c r="F89" s="126"/>
      <c r="G89" s="126"/>
      <c r="H89" s="420"/>
      <c r="J89" s="126"/>
      <c r="K89" s="126"/>
      <c r="L89" s="377"/>
      <c r="M89" s="377"/>
      <c r="N89" s="126"/>
      <c r="O89" s="33"/>
      <c r="P89" s="377"/>
      <c r="Q89" s="126"/>
      <c r="R89" s="126"/>
      <c r="S89" s="126"/>
      <c r="T89" s="378"/>
      <c r="U89" s="379"/>
      <c r="V89" s="380"/>
      <c r="W89" s="96"/>
      <c r="X89" s="96"/>
      <c r="Y89" s="96"/>
      <c r="Z89" s="96"/>
      <c r="AA89" s="96"/>
      <c r="AB89" s="96"/>
      <c r="AC89" s="96"/>
      <c r="AD89" s="96"/>
      <c r="AE89" s="96"/>
      <c r="AF89" s="96"/>
      <c r="AG89" s="96"/>
      <c r="AH89" s="96"/>
      <c r="AI89" s="96"/>
      <c r="AJ89" s="96"/>
      <c r="AK89" s="96"/>
      <c r="AL89" s="96"/>
      <c r="AM89" s="96"/>
      <c r="AN89" s="96"/>
      <c r="AO89" s="96"/>
      <c r="AP89" s="96"/>
      <c r="AQ89" s="96"/>
      <c r="AR89" s="96"/>
      <c r="AS89" s="96"/>
      <c r="AT89" s="96"/>
      <c r="AU89" s="96"/>
      <c r="AV89" s="96"/>
      <c r="AW89" s="96"/>
      <c r="AX89" s="96"/>
      <c r="AY89" s="96"/>
      <c r="AZ89" s="96"/>
      <c r="BA89" s="96"/>
      <c r="BB89" s="96"/>
      <c r="BC89" s="96"/>
      <c r="BD89" s="96"/>
      <c r="BE89" s="96"/>
      <c r="BF89" s="96"/>
      <c r="BG89" s="96"/>
      <c r="BH89" s="96"/>
      <c r="BI89" s="96"/>
      <c r="BJ89" s="96"/>
      <c r="BK89" s="96"/>
      <c r="BL89" s="96"/>
      <c r="BM89" s="96"/>
      <c r="BN89" s="96"/>
      <c r="BO89" s="96"/>
      <c r="BP89" s="96"/>
      <c r="BQ89" s="96"/>
      <c r="BR89" s="96"/>
      <c r="BS89" s="96"/>
      <c r="BT89" s="96"/>
      <c r="BU89" s="96"/>
      <c r="BV89" s="96"/>
      <c r="BW89" s="96"/>
      <c r="BX89" s="96"/>
      <c r="BY89" s="96"/>
      <c r="BZ89" s="96"/>
      <c r="CA89" s="96"/>
      <c r="CB89" s="96"/>
      <c r="CC89" s="96"/>
      <c r="CD89" s="96"/>
      <c r="CE89" s="96"/>
      <c r="CF89" s="96"/>
      <c r="CG89" s="96"/>
      <c r="CH89" s="96"/>
      <c r="CI89" s="96"/>
      <c r="CJ89" s="96"/>
      <c r="CK89" s="96"/>
      <c r="CL89" s="96"/>
      <c r="CM89" s="96"/>
      <c r="CN89" s="96"/>
      <c r="CO89" s="96"/>
      <c r="CP89" s="96"/>
      <c r="CQ89" s="96"/>
      <c r="CR89" s="96"/>
      <c r="CS89" s="96"/>
      <c r="CT89" s="96"/>
      <c r="CU89" s="96"/>
      <c r="CV89" s="96"/>
      <c r="CW89" s="96"/>
      <c r="CX89" s="96"/>
      <c r="CY89" s="96"/>
      <c r="CZ89" s="96"/>
      <c r="DA89" s="96"/>
      <c r="DB89" s="96"/>
      <c r="DC89" s="96"/>
      <c r="DD89" s="96"/>
      <c r="DE89" s="96"/>
      <c r="DF89" s="96"/>
      <c r="DG89" s="96"/>
      <c r="DH89" s="96"/>
      <c r="DI89" s="96"/>
      <c r="DJ89" s="96"/>
      <c r="DK89" s="96"/>
      <c r="DL89" s="96"/>
      <c r="DM89" s="96"/>
      <c r="DN89" s="96"/>
      <c r="DO89" s="96"/>
      <c r="DP89" s="96"/>
      <c r="DQ89" s="96"/>
      <c r="DR89" s="96"/>
      <c r="DS89" s="96"/>
      <c r="DT89" s="96"/>
      <c r="DU89" s="96"/>
      <c r="DV89" s="96"/>
      <c r="DW89" s="96"/>
      <c r="DX89" s="96"/>
      <c r="DY89" s="96"/>
      <c r="DZ89" s="96"/>
      <c r="EA89" s="96"/>
      <c r="EB89" s="96"/>
      <c r="EC89" s="96"/>
      <c r="ED89" s="96"/>
      <c r="EE89" s="96"/>
      <c r="EF89" s="96"/>
      <c r="EG89" s="96"/>
      <c r="EH89" s="96"/>
      <c r="EI89" s="96"/>
      <c r="EJ89" s="96"/>
      <c r="EK89" s="96"/>
      <c r="EL89" s="96"/>
      <c r="EM89" s="96"/>
      <c r="EN89" s="96"/>
      <c r="EO89" s="96"/>
      <c r="EP89" s="96"/>
      <c r="EQ89" s="96"/>
      <c r="ER89" s="96"/>
    </row>
    <row r="90" spans="1:148" s="219" customFormat="1" x14ac:dyDescent="0.2">
      <c r="A90" s="126"/>
      <c r="B90" s="126"/>
      <c r="C90" s="126"/>
      <c r="D90" s="126"/>
      <c r="E90" s="126"/>
      <c r="F90" s="126"/>
      <c r="G90" s="126"/>
      <c r="H90" s="420"/>
      <c r="J90" s="126"/>
      <c r="K90" s="126"/>
      <c r="L90" s="377"/>
      <c r="M90" s="377"/>
      <c r="N90" s="126"/>
      <c r="O90" s="33"/>
      <c r="P90" s="377"/>
      <c r="Q90" s="126"/>
      <c r="R90" s="126"/>
      <c r="S90" s="126"/>
      <c r="T90" s="378"/>
      <c r="U90" s="379"/>
      <c r="V90" s="380"/>
      <c r="W90" s="96"/>
      <c r="X90" s="96"/>
      <c r="Y90" s="96"/>
      <c r="Z90" s="96"/>
      <c r="AA90" s="96"/>
      <c r="AB90" s="96"/>
      <c r="AC90" s="96"/>
      <c r="AD90" s="96"/>
      <c r="AE90" s="96"/>
      <c r="AF90" s="96"/>
      <c r="AG90" s="96"/>
      <c r="AH90" s="96"/>
      <c r="AI90" s="96"/>
      <c r="AJ90" s="96"/>
      <c r="AK90" s="96"/>
      <c r="AL90" s="96"/>
      <c r="AM90" s="96"/>
      <c r="AN90" s="96"/>
      <c r="AO90" s="96"/>
      <c r="AP90" s="96"/>
      <c r="AQ90" s="96"/>
      <c r="AR90" s="96"/>
      <c r="AS90" s="96"/>
      <c r="AT90" s="96"/>
      <c r="AU90" s="96"/>
      <c r="AV90" s="96"/>
      <c r="AW90" s="96"/>
      <c r="AX90" s="96"/>
      <c r="AY90" s="96"/>
      <c r="AZ90" s="96"/>
      <c r="BA90" s="96"/>
      <c r="BB90" s="96"/>
      <c r="BC90" s="96"/>
      <c r="BD90" s="96"/>
      <c r="BE90" s="96"/>
      <c r="BF90" s="96"/>
      <c r="BG90" s="96"/>
      <c r="BH90" s="96"/>
      <c r="BI90" s="96"/>
      <c r="BJ90" s="96"/>
      <c r="BK90" s="96"/>
      <c r="BL90" s="96"/>
      <c r="BM90" s="96"/>
      <c r="BN90" s="96"/>
      <c r="BO90" s="96"/>
      <c r="BP90" s="96"/>
      <c r="BQ90" s="96"/>
      <c r="BR90" s="96"/>
      <c r="BS90" s="96"/>
      <c r="BT90" s="96"/>
      <c r="BU90" s="96"/>
      <c r="BV90" s="96"/>
      <c r="BW90" s="96"/>
      <c r="BX90" s="96"/>
      <c r="BY90" s="96"/>
      <c r="BZ90" s="96"/>
      <c r="CA90" s="96"/>
      <c r="CB90" s="96"/>
      <c r="CC90" s="96"/>
      <c r="CD90" s="96"/>
      <c r="CE90" s="96"/>
      <c r="CF90" s="96"/>
      <c r="CG90" s="96"/>
      <c r="CH90" s="96"/>
      <c r="CI90" s="96"/>
      <c r="CJ90" s="96"/>
      <c r="CK90" s="96"/>
      <c r="CL90" s="96"/>
      <c r="CM90" s="96"/>
      <c r="CN90" s="96"/>
      <c r="CO90" s="96"/>
      <c r="CP90" s="96"/>
      <c r="CQ90" s="96"/>
      <c r="CR90" s="96"/>
      <c r="CS90" s="96"/>
      <c r="CT90" s="96"/>
      <c r="CU90" s="96"/>
      <c r="CV90" s="96"/>
      <c r="CW90" s="96"/>
      <c r="CX90" s="96"/>
      <c r="CY90" s="96"/>
      <c r="CZ90" s="96"/>
      <c r="DA90" s="96"/>
      <c r="DB90" s="96"/>
      <c r="DC90" s="96"/>
      <c r="DD90" s="96"/>
      <c r="DE90" s="96"/>
      <c r="DF90" s="96"/>
      <c r="DG90" s="96"/>
      <c r="DH90" s="96"/>
      <c r="DI90" s="96"/>
      <c r="DJ90" s="96"/>
      <c r="DK90" s="96"/>
      <c r="DL90" s="96"/>
      <c r="DM90" s="96"/>
      <c r="DN90" s="96"/>
      <c r="DO90" s="96"/>
      <c r="DP90" s="96"/>
      <c r="DQ90" s="96"/>
      <c r="DR90" s="96"/>
      <c r="DS90" s="96"/>
      <c r="DT90" s="96"/>
      <c r="DU90" s="96"/>
      <c r="DV90" s="96"/>
      <c r="DW90" s="96"/>
      <c r="DX90" s="96"/>
      <c r="DY90" s="96"/>
      <c r="DZ90" s="96"/>
      <c r="EA90" s="96"/>
      <c r="EB90" s="96"/>
      <c r="EC90" s="96"/>
      <c r="ED90" s="96"/>
      <c r="EE90" s="96"/>
      <c r="EF90" s="96"/>
      <c r="EG90" s="96"/>
      <c r="EH90" s="96"/>
      <c r="EI90" s="96"/>
      <c r="EJ90" s="96"/>
      <c r="EK90" s="96"/>
      <c r="EL90" s="96"/>
      <c r="EM90" s="96"/>
      <c r="EN90" s="96"/>
      <c r="EO90" s="96"/>
      <c r="EP90" s="96"/>
      <c r="EQ90" s="96"/>
      <c r="ER90" s="96"/>
    </row>
  </sheetData>
  <sheetProtection sheet="1" sort="0" autoFilter="0" pivotTables="0"/>
  <mergeCells count="1">
    <mergeCell ref="A32:B32"/>
  </mergeCells>
  <dataValidations count="10">
    <dataValidation type="whole" allowBlank="1" showInputMessage="1" showErrorMessage="1" sqref="D14:D31 D36:D42" xr:uid="{00000000-0002-0000-0200-000000000000}">
      <formula1>0</formula1>
      <formula2>10</formula2>
    </dataValidation>
    <dataValidation type="decimal" allowBlank="1" showInputMessage="1" showErrorMessage="1" sqref="G51 G14:G31 G36:G42" xr:uid="{00000000-0002-0000-0200-000001000000}">
      <formula1>0</formula1>
      <formula2>1</formula2>
    </dataValidation>
    <dataValidation type="list" showInputMessage="1" showErrorMessage="1" sqref="C8:D8" xr:uid="{00000000-0002-0000-0200-000002000000}">
      <formula1>"Quote, Estimate, SELECT ONE"</formula1>
    </dataValidation>
    <dataValidation type="list" showInputMessage="1" showErrorMessage="1" sqref="C4:D4" xr:uid="{00000000-0002-0000-0200-000003000000}">
      <formula1>"T&amp;M, Fixed Price, SELECT ONE"</formula1>
    </dataValidation>
    <dataValidation type="date" operator="greaterThan" allowBlank="1" showInputMessage="1" showErrorMessage="1" sqref="F51:F52" xr:uid="{00000000-0002-0000-0200-000004000000}">
      <formula1>38353</formula1>
    </dataValidation>
    <dataValidation type="whole" showInputMessage="1" showErrorMessage="1" sqref="C9:D9" xr:uid="{00000000-0002-0000-0200-000005000000}">
      <formula1>8</formula1>
      <formula2>9</formula2>
    </dataValidation>
    <dataValidation type="date" operator="greaterThanOrEqual" allowBlank="1" showInputMessage="1" showErrorMessage="1" sqref="E51:E52 E53:F55 E14:F31 E36:F42" xr:uid="{00000000-0002-0000-0200-000006000000}">
      <formula1>38353</formula1>
    </dataValidation>
    <dataValidation type="list" showInputMessage="1" showErrorMessage="1" sqref="B10" xr:uid="{00000000-0002-0000-0200-000007000000}">
      <formula1>"SELECT ONE, APAC, EU, NA"</formula1>
    </dataValidation>
    <dataValidation type="list" allowBlank="1" showInputMessage="1" showErrorMessage="1" sqref="B4" xr:uid="{00000000-0002-0000-0200-000008000000}">
      <formula1>"T&amp;M, Fixed Price, SELECT ONE"</formula1>
    </dataValidation>
    <dataValidation type="list" allowBlank="1" showInputMessage="1" showErrorMessage="1" sqref="C14:C31" xr:uid="{00000000-0002-0000-0200-000009000000}">
      <formula1>"APAC, EU, NA, SELECT ONE, ERROR"</formula1>
    </dataValidation>
  </dataValidations>
  <pageMargins left="0.75" right="0.75" top="1" bottom="1" header="0.5" footer="0.5"/>
  <pageSetup scale="57" fitToHeight="5" orientation="landscape" r:id="rId1"/>
  <headerFooter alignWithMargins="0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"/>
  <dimension ref="A1:B6"/>
  <sheetViews>
    <sheetView workbookViewId="0">
      <selection activeCell="G19" sqref="G19"/>
    </sheetView>
  </sheetViews>
  <sheetFormatPr defaultColWidth="9.33203125" defaultRowHeight="12.75" x14ac:dyDescent="0.2"/>
  <cols>
    <col min="1" max="1" width="74.83203125" style="92" customWidth="1"/>
    <col min="2" max="2" width="17.83203125" style="92" customWidth="1"/>
    <col min="3" max="16384" width="9.33203125" style="92"/>
  </cols>
  <sheetData>
    <row r="1" spans="1:2" x14ac:dyDescent="0.2">
      <c r="A1" s="90" t="s">
        <v>25</v>
      </c>
      <c r="B1" s="91" t="s">
        <v>81</v>
      </c>
    </row>
    <row r="2" spans="1:2" x14ac:dyDescent="0.2">
      <c r="A2" s="222"/>
      <c r="B2" s="220">
        <v>0</v>
      </c>
    </row>
    <row r="3" spans="1:2" x14ac:dyDescent="0.2">
      <c r="A3" s="222"/>
      <c r="B3" s="220">
        <v>0</v>
      </c>
    </row>
    <row r="4" spans="1:2" x14ac:dyDescent="0.2">
      <c r="A4" s="222"/>
      <c r="B4" s="221">
        <v>0</v>
      </c>
    </row>
    <row r="5" spans="1:2" hidden="1" x14ac:dyDescent="0.2">
      <c r="A5" s="93"/>
      <c r="B5" s="129">
        <v>0</v>
      </c>
    </row>
    <row r="6" spans="1:2" x14ac:dyDescent="0.2">
      <c r="A6" s="94" t="s">
        <v>256</v>
      </c>
      <c r="B6" s="130">
        <f>SUM(B2:B5)</f>
        <v>0</v>
      </c>
    </row>
  </sheetData>
  <sheetProtection sheet="1" objects="1" scenarios="1" insertRows="0"/>
  <phoneticPr fontId="7" type="noConversion"/>
  <pageMargins left="0.75" right="0.75" top="1" bottom="1" header="0.5" footer="0.5"/>
  <pageSetup orientation="landscape" r:id="rId1"/>
  <headerFooter alignWithMargins="0">
    <oddHeader>&amp;C&amp;A</oddHeader>
  </headerFooter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">
    <pageSetUpPr fitToPage="1"/>
  </sheetPr>
  <dimension ref="A1:B31"/>
  <sheetViews>
    <sheetView workbookViewId="0">
      <selection activeCell="C21" sqref="C21"/>
    </sheetView>
  </sheetViews>
  <sheetFormatPr defaultColWidth="10.6640625" defaultRowHeight="12.75" x14ac:dyDescent="0.2"/>
  <cols>
    <col min="1" max="1" width="15.83203125" style="26" customWidth="1"/>
    <col min="2" max="2" width="82.6640625" style="22" customWidth="1"/>
    <col min="3" max="16384" width="10.6640625" style="22"/>
  </cols>
  <sheetData>
    <row r="1" spans="1:2" x14ac:dyDescent="0.2">
      <c r="A1" s="20" t="s">
        <v>27</v>
      </c>
      <c r="B1" s="21"/>
    </row>
    <row r="2" spans="1:2" x14ac:dyDescent="0.2">
      <c r="A2" s="20"/>
      <c r="B2" s="23" t="s">
        <v>77</v>
      </c>
    </row>
    <row r="3" spans="1:2" x14ac:dyDescent="0.2">
      <c r="A3" s="20"/>
      <c r="B3" s="21"/>
    </row>
    <row r="4" spans="1:2" x14ac:dyDescent="0.2">
      <c r="A4" s="24">
        <v>1</v>
      </c>
      <c r="B4" s="25"/>
    </row>
    <row r="5" spans="1:2" x14ac:dyDescent="0.2">
      <c r="A5" s="26">
        <f>A4+1</f>
        <v>2</v>
      </c>
      <c r="B5" s="25"/>
    </row>
    <row r="6" spans="1:2" x14ac:dyDescent="0.2">
      <c r="A6" s="26">
        <f t="shared" ref="A6:A12" si="0">A5+1</f>
        <v>3</v>
      </c>
      <c r="B6" s="27"/>
    </row>
    <row r="7" spans="1:2" x14ac:dyDescent="0.2">
      <c r="A7" s="26">
        <f t="shared" si="0"/>
        <v>4</v>
      </c>
      <c r="B7" s="21"/>
    </row>
    <row r="8" spans="1:2" x14ac:dyDescent="0.2">
      <c r="A8" s="26">
        <f t="shared" si="0"/>
        <v>5</v>
      </c>
    </row>
    <row r="9" spans="1:2" x14ac:dyDescent="0.2">
      <c r="A9" s="26">
        <f t="shared" si="0"/>
        <v>6</v>
      </c>
      <c r="B9" s="26"/>
    </row>
    <row r="10" spans="1:2" x14ac:dyDescent="0.2">
      <c r="A10" s="26">
        <f t="shared" si="0"/>
        <v>7</v>
      </c>
      <c r="B10" s="26"/>
    </row>
    <row r="11" spans="1:2" x14ac:dyDescent="0.2">
      <c r="A11" s="26">
        <f t="shared" si="0"/>
        <v>8</v>
      </c>
      <c r="B11" s="26"/>
    </row>
    <row r="12" spans="1:2" x14ac:dyDescent="0.2">
      <c r="A12" s="26">
        <f t="shared" si="0"/>
        <v>9</v>
      </c>
      <c r="B12" s="26"/>
    </row>
    <row r="13" spans="1:2" x14ac:dyDescent="0.2">
      <c r="A13" s="26">
        <f>A12+1</f>
        <v>10</v>
      </c>
      <c r="B13" s="26"/>
    </row>
    <row r="14" spans="1:2" x14ac:dyDescent="0.2">
      <c r="A14" s="24"/>
      <c r="B14" s="21"/>
    </row>
    <row r="15" spans="1:2" x14ac:dyDescent="0.2">
      <c r="A15" s="24"/>
      <c r="B15" s="21"/>
    </row>
    <row r="16" spans="1:2" x14ac:dyDescent="0.2">
      <c r="A16" s="24"/>
      <c r="B16" s="21"/>
    </row>
    <row r="17" spans="1:2" x14ac:dyDescent="0.2">
      <c r="A17" s="20" t="s">
        <v>28</v>
      </c>
      <c r="B17" s="21"/>
    </row>
    <row r="18" spans="1:2" x14ac:dyDescent="0.2">
      <c r="A18" s="24"/>
      <c r="B18" s="21"/>
    </row>
    <row r="19" spans="1:2" x14ac:dyDescent="0.2">
      <c r="A19" s="24">
        <v>1</v>
      </c>
      <c r="B19" s="27"/>
    </row>
    <row r="20" spans="1:2" x14ac:dyDescent="0.2">
      <c r="A20" s="24">
        <f>A19+1</f>
        <v>2</v>
      </c>
      <c r="B20" s="25"/>
    </row>
    <row r="21" spans="1:2" x14ac:dyDescent="0.2">
      <c r="A21" s="24">
        <f t="shared" ref="A21:A28" si="1">A20+1</f>
        <v>3</v>
      </c>
      <c r="B21" s="27"/>
    </row>
    <row r="22" spans="1:2" x14ac:dyDescent="0.2">
      <c r="A22" s="24">
        <f t="shared" si="1"/>
        <v>4</v>
      </c>
      <c r="B22" s="27"/>
    </row>
    <row r="23" spans="1:2" x14ac:dyDescent="0.2">
      <c r="A23" s="24">
        <f t="shared" si="1"/>
        <v>5</v>
      </c>
      <c r="B23" s="27"/>
    </row>
    <row r="24" spans="1:2" x14ac:dyDescent="0.2">
      <c r="A24" s="24">
        <f t="shared" si="1"/>
        <v>6</v>
      </c>
      <c r="B24" s="27"/>
    </row>
    <row r="25" spans="1:2" x14ac:dyDescent="0.2">
      <c r="A25" s="24">
        <f t="shared" si="1"/>
        <v>7</v>
      </c>
      <c r="B25" s="27"/>
    </row>
    <row r="26" spans="1:2" x14ac:dyDescent="0.2">
      <c r="A26" s="24">
        <f t="shared" si="1"/>
        <v>8</v>
      </c>
      <c r="B26" s="27"/>
    </row>
    <row r="27" spans="1:2" x14ac:dyDescent="0.2">
      <c r="A27" s="24">
        <f t="shared" si="1"/>
        <v>9</v>
      </c>
      <c r="B27" s="27"/>
    </row>
    <row r="28" spans="1:2" x14ac:dyDescent="0.2">
      <c r="A28" s="24">
        <f t="shared" si="1"/>
        <v>10</v>
      </c>
      <c r="B28" s="27"/>
    </row>
    <row r="31" spans="1:2" x14ac:dyDescent="0.2">
      <c r="A31" s="59"/>
    </row>
  </sheetData>
  <phoneticPr fontId="14" type="noConversion"/>
  <pageMargins left="0.75" right="0.75" top="1" bottom="1" header="0.5" footer="0.5"/>
  <pageSetup orientation="portrait" horizontalDpi="4294967293" r:id="rId1"/>
  <headerFooter alignWithMargins="0">
    <oddHeader>&amp;CRisk and Assumptions</oddHeader>
    <oddFooter>&amp;LConfidential&amp;C&amp;P&amp;RPegasystems Internal Use Only</oddFooter>
  </headerFooter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22">
    <tabColor rgb="FF92D050"/>
    <pageSetUpPr fitToPage="1"/>
  </sheetPr>
  <dimension ref="A1:ER104"/>
  <sheetViews>
    <sheetView workbookViewId="0">
      <pane xSplit="2" ySplit="13" topLeftCell="C14" activePane="bottomRight" state="frozen"/>
      <selection activeCell="A5" sqref="A5:B10"/>
      <selection pane="topRight" activeCell="A5" sqref="A5:B10"/>
      <selection pane="bottomLeft" activeCell="A5" sqref="A5:B10"/>
      <selection pane="bottomRight" activeCell="M20" sqref="M20"/>
    </sheetView>
  </sheetViews>
  <sheetFormatPr defaultColWidth="9.33203125" defaultRowHeight="12.75" outlineLevelRow="1" x14ac:dyDescent="0.2"/>
  <cols>
    <col min="1" max="1" width="30.33203125" style="2" customWidth="1"/>
    <col min="2" max="2" width="15.1640625" style="2" bestFit="1" customWidth="1"/>
    <col min="3" max="3" width="0.5" style="2" customWidth="1"/>
    <col min="4" max="4" width="15.1640625" style="2" customWidth="1"/>
    <col min="5" max="5" width="10.5" style="2" customWidth="1"/>
    <col min="6" max="6" width="10.83203125" style="2" customWidth="1"/>
    <col min="7" max="7" width="13" style="2" bestFit="1" customWidth="1"/>
    <col min="8" max="8" width="11" style="2" bestFit="1" customWidth="1"/>
    <col min="9" max="9" width="11" style="115" customWidth="1"/>
    <col min="10" max="10" width="12.83203125" style="2" customWidth="1"/>
    <col min="11" max="11" width="15" style="2" bestFit="1" customWidth="1"/>
    <col min="12" max="12" width="12.33203125" style="199" customWidth="1"/>
    <col min="13" max="13" width="11.5" style="199" customWidth="1"/>
    <col min="14" max="14" width="11.5" style="2" customWidth="1"/>
    <col min="15" max="15" width="10.83203125" style="31" customWidth="1"/>
    <col min="16" max="16" width="14.1640625" style="199" customWidth="1"/>
    <col min="17" max="17" width="11.5" style="2" customWidth="1"/>
    <col min="18" max="18" width="10" style="2" customWidth="1"/>
    <col min="19" max="19" width="11.1640625" style="2" customWidth="1"/>
    <col min="20" max="20" width="9.33203125" style="250"/>
    <col min="21" max="21" width="9.33203125" style="364" hidden="1" customWidth="1"/>
    <col min="22" max="22" width="9.33203125" style="367"/>
    <col min="23" max="23" width="27.6640625" style="41" bestFit="1" customWidth="1"/>
    <col min="24" max="24" width="12.1640625" style="41" customWidth="1"/>
    <col min="25" max="25" width="28.1640625" style="41" hidden="1" customWidth="1"/>
    <col min="26" max="148" width="9.33203125" style="41"/>
    <col min="149" max="16384" width="9.33203125" style="2"/>
  </cols>
  <sheetData>
    <row r="1" spans="1:148" x14ac:dyDescent="0.2">
      <c r="A1" s="2" t="s">
        <v>0</v>
      </c>
      <c r="B1" s="135" t="str">
        <f>IF(ISBLANK(Summary!B1)," ",Summary!B1)</f>
        <v>Cox</v>
      </c>
      <c r="C1" s="137"/>
      <c r="D1" s="137"/>
    </row>
    <row r="2" spans="1:148" x14ac:dyDescent="0.2">
      <c r="A2" s="2" t="s">
        <v>157</v>
      </c>
      <c r="B2" s="135" t="str">
        <f>IF(ISBLANK(Summary!B3)," ",Summary!B3)</f>
        <v>ECR WITHOUT MEETING</v>
      </c>
      <c r="C2" s="137"/>
      <c r="D2" s="137"/>
      <c r="W2" s="42"/>
      <c r="Y2" s="41" t="s">
        <v>93</v>
      </c>
    </row>
    <row r="3" spans="1:148" x14ac:dyDescent="0.2">
      <c r="A3" s="250" t="s">
        <v>252</v>
      </c>
      <c r="B3" s="463" t="str">
        <f>Summary!$B$15</f>
        <v>SPRINTS</v>
      </c>
      <c r="C3" s="126"/>
      <c r="D3" s="126"/>
      <c r="H3" s="126"/>
      <c r="I3" s="219"/>
      <c r="J3" s="126"/>
      <c r="K3" s="126"/>
      <c r="W3" s="42"/>
      <c r="Y3" s="41" t="s">
        <v>94</v>
      </c>
    </row>
    <row r="4" spans="1:148" x14ac:dyDescent="0.2">
      <c r="A4" s="2" t="s">
        <v>3</v>
      </c>
      <c r="B4" s="135" t="s">
        <v>18</v>
      </c>
      <c r="C4" s="138"/>
      <c r="D4" s="138"/>
      <c r="W4" s="42"/>
      <c r="Y4" s="41" t="s">
        <v>162</v>
      </c>
    </row>
    <row r="5" spans="1:148" x14ac:dyDescent="0.2">
      <c r="A5" s="2" t="s">
        <v>144</v>
      </c>
      <c r="B5" s="98" t="str">
        <f>IF(ISBLANK(Summary!B6),"ADD on SUMMARY tab",Summary!B6)</f>
        <v>NA</v>
      </c>
      <c r="C5" s="98"/>
      <c r="D5" s="98"/>
      <c r="H5" s="124" t="str">
        <f>IF(AND(P59&gt;0,P61=0),"Enter Total Price in N43"," ")</f>
        <v xml:space="preserve"> </v>
      </c>
      <c r="W5" s="42"/>
      <c r="Y5" s="41" t="s">
        <v>95</v>
      </c>
    </row>
    <row r="6" spans="1:148" x14ac:dyDescent="0.2">
      <c r="A6" s="2" t="s">
        <v>4</v>
      </c>
      <c r="B6" s="87">
        <f>MIN(E14:E31)</f>
        <v>43009</v>
      </c>
      <c r="C6" s="139"/>
      <c r="D6" s="139"/>
      <c r="E6" s="4" t="str">
        <f>IF(B6&gt;MIN(E14:E42),"Staffing Starts before this date!",IF(B6&lt;MIN(E14:E42),"No staffing on start date!",""))</f>
        <v/>
      </c>
      <c r="F6"/>
      <c r="G6"/>
      <c r="H6"/>
      <c r="I6" s="116"/>
      <c r="J6"/>
      <c r="K6"/>
      <c r="L6" s="200"/>
      <c r="M6" s="200"/>
      <c r="N6"/>
      <c r="O6" s="49"/>
      <c r="P6" s="200"/>
      <c r="W6" s="42"/>
      <c r="Y6" s="41" t="s">
        <v>96</v>
      </c>
    </row>
    <row r="7" spans="1:148" x14ac:dyDescent="0.2">
      <c r="A7" s="2" t="s">
        <v>5</v>
      </c>
      <c r="B7" s="87">
        <f>MAX(F14:F31)</f>
        <v>43428</v>
      </c>
      <c r="C7" s="139"/>
      <c r="D7" s="139"/>
      <c r="E7" s="4" t="str">
        <f>IF(B7&gt;MAX(F14:F42),"Staffing ends before project end date!",IF(B7&lt;MAX(F14:F42),"Staffing continues after end date!",""))</f>
        <v/>
      </c>
      <c r="F7"/>
      <c r="G7"/>
      <c r="H7"/>
      <c r="I7" s="116"/>
      <c r="J7"/>
      <c r="K7"/>
      <c r="L7" s="200"/>
      <c r="M7" s="200"/>
      <c r="N7"/>
      <c r="O7" s="49"/>
      <c r="P7" s="200"/>
      <c r="W7" s="42"/>
      <c r="Y7" s="41" t="s">
        <v>97</v>
      </c>
    </row>
    <row r="8" spans="1:148" x14ac:dyDescent="0.2">
      <c r="A8" s="2" t="s">
        <v>6</v>
      </c>
      <c r="B8" s="135" t="str">
        <f>IF(ISBLANK(Summary!B9)," ",Summary!B9)</f>
        <v>Quote</v>
      </c>
      <c r="C8" s="138"/>
      <c r="D8" s="138"/>
      <c r="F8" s="2" t="s">
        <v>153</v>
      </c>
      <c r="G8" s="88">
        <v>0.05</v>
      </c>
      <c r="W8" s="42"/>
      <c r="Y8" s="41" t="s">
        <v>145</v>
      </c>
    </row>
    <row r="9" spans="1:148" x14ac:dyDescent="0.2">
      <c r="A9" s="2" t="s">
        <v>79</v>
      </c>
      <c r="B9" s="125">
        <v>8</v>
      </c>
      <c r="C9" s="140"/>
      <c r="D9" s="140"/>
      <c r="F9" s="2" t="s">
        <v>152</v>
      </c>
      <c r="G9" s="88">
        <v>0.2</v>
      </c>
      <c r="W9" s="42"/>
      <c r="Y9" s="41" t="s">
        <v>163</v>
      </c>
    </row>
    <row r="10" spans="1:148" x14ac:dyDescent="0.2">
      <c r="A10" s="2" t="s">
        <v>70</v>
      </c>
      <c r="B10" s="150" t="str">
        <f>IF(ISBLANK(Summary!B14),"SELECT ONE",Summary!B14)</f>
        <v>USD</v>
      </c>
      <c r="Y10" s="41" t="s">
        <v>98</v>
      </c>
    </row>
    <row r="11" spans="1:148" x14ac:dyDescent="0.2">
      <c r="G11" s="5"/>
      <c r="H11" s="3"/>
      <c r="Y11" s="41" t="s">
        <v>99</v>
      </c>
    </row>
    <row r="12" spans="1:148" x14ac:dyDescent="0.2">
      <c r="A12" s="3"/>
      <c r="B12" s="3"/>
      <c r="C12" s="3"/>
      <c r="D12" s="3"/>
      <c r="E12" s="5"/>
      <c r="F12" s="5"/>
      <c r="G12" s="5"/>
      <c r="H12" s="6"/>
      <c r="I12" s="117"/>
      <c r="J12" s="6"/>
      <c r="K12" s="6"/>
      <c r="L12" s="201"/>
      <c r="M12" s="201"/>
      <c r="N12" s="6"/>
      <c r="O12" s="34" t="s">
        <v>80</v>
      </c>
      <c r="P12" s="201"/>
      <c r="Q12" s="6"/>
      <c r="R12" s="6"/>
      <c r="S12" s="6"/>
      <c r="Y12" s="41" t="s">
        <v>100</v>
      </c>
    </row>
    <row r="13" spans="1:148" s="3" customFormat="1" x14ac:dyDescent="0.2">
      <c r="A13" s="12" t="s">
        <v>52</v>
      </c>
      <c r="B13" s="12" t="s">
        <v>251</v>
      </c>
      <c r="C13" s="12" t="s">
        <v>91</v>
      </c>
      <c r="D13" s="12" t="s">
        <v>249</v>
      </c>
      <c r="E13" s="13" t="s">
        <v>54</v>
      </c>
      <c r="F13" s="13" t="s">
        <v>55</v>
      </c>
      <c r="G13" s="13" t="s">
        <v>7</v>
      </c>
      <c r="H13" s="13" t="s">
        <v>20</v>
      </c>
      <c r="I13" s="118" t="s">
        <v>78</v>
      </c>
      <c r="J13" s="35" t="s">
        <v>10</v>
      </c>
      <c r="K13" s="13" t="s">
        <v>56</v>
      </c>
      <c r="L13" s="202" t="s">
        <v>57</v>
      </c>
      <c r="M13" s="213" t="s">
        <v>31</v>
      </c>
      <c r="N13" s="13" t="s">
        <v>21</v>
      </c>
      <c r="O13" s="35" t="s">
        <v>22</v>
      </c>
      <c r="P13" s="213" t="s">
        <v>58</v>
      </c>
      <c r="Q13" s="13" t="s">
        <v>32</v>
      </c>
      <c r="R13" s="13" t="s">
        <v>23</v>
      </c>
      <c r="S13" s="13" t="s">
        <v>24</v>
      </c>
      <c r="T13" s="360"/>
      <c r="U13" s="366"/>
      <c r="V13" s="368"/>
      <c r="W13" s="233"/>
      <c r="X13" s="233"/>
      <c r="Y13" s="41" t="s">
        <v>137</v>
      </c>
      <c r="Z13" s="233"/>
      <c r="AA13" s="233"/>
      <c r="AB13" s="233"/>
      <c r="AC13" s="233"/>
      <c r="AD13" s="233"/>
      <c r="AE13" s="233"/>
      <c r="AF13" s="233"/>
      <c r="AG13" s="233"/>
      <c r="AH13" s="233"/>
      <c r="AI13" s="233"/>
      <c r="AJ13" s="233"/>
      <c r="AK13" s="233"/>
      <c r="AL13" s="233"/>
      <c r="AM13" s="233"/>
      <c r="AN13" s="233"/>
      <c r="AO13" s="233"/>
      <c r="AP13" s="233"/>
      <c r="AQ13" s="233"/>
      <c r="AR13" s="233"/>
      <c r="AS13" s="233"/>
      <c r="AT13" s="233"/>
      <c r="AU13" s="233"/>
      <c r="AV13" s="233"/>
      <c r="AW13" s="233"/>
      <c r="AX13" s="233"/>
      <c r="AY13" s="233"/>
      <c r="AZ13" s="233"/>
      <c r="BA13" s="233"/>
      <c r="BB13" s="233"/>
      <c r="BC13" s="233"/>
      <c r="BD13" s="233"/>
      <c r="BE13" s="233"/>
      <c r="BF13" s="233"/>
      <c r="BG13" s="233"/>
      <c r="BH13" s="233"/>
      <c r="BI13" s="233"/>
      <c r="BJ13" s="233"/>
      <c r="BK13" s="233"/>
      <c r="BL13" s="233"/>
      <c r="BM13" s="233"/>
      <c r="BN13" s="233"/>
      <c r="BO13" s="233"/>
      <c r="BP13" s="233"/>
      <c r="BQ13" s="233"/>
      <c r="BR13" s="233"/>
      <c r="BS13" s="233"/>
      <c r="BT13" s="233"/>
      <c r="BU13" s="233"/>
      <c r="BV13" s="233"/>
      <c r="BW13" s="233"/>
      <c r="BX13" s="233"/>
      <c r="BY13" s="233"/>
      <c r="BZ13" s="233"/>
      <c r="CA13" s="233"/>
      <c r="CB13" s="233"/>
      <c r="CC13" s="233"/>
      <c r="CD13" s="233"/>
      <c r="CE13" s="233"/>
      <c r="CF13" s="233"/>
      <c r="CG13" s="233"/>
      <c r="CH13" s="233"/>
      <c r="CI13" s="233"/>
      <c r="CJ13" s="233"/>
      <c r="CK13" s="233"/>
      <c r="CL13" s="233"/>
      <c r="CM13" s="233"/>
      <c r="CN13" s="233"/>
      <c r="CO13" s="233"/>
      <c r="CP13" s="233"/>
      <c r="CQ13" s="233"/>
      <c r="CR13" s="233"/>
      <c r="CS13" s="233"/>
      <c r="CT13" s="233"/>
      <c r="CU13" s="233"/>
      <c r="CV13" s="233"/>
      <c r="CW13" s="233"/>
      <c r="CX13" s="233"/>
      <c r="CY13" s="233"/>
      <c r="CZ13" s="233"/>
      <c r="DA13" s="233"/>
      <c r="DB13" s="233"/>
      <c r="DC13" s="233"/>
      <c r="DD13" s="233"/>
      <c r="DE13" s="233"/>
      <c r="DF13" s="233"/>
      <c r="DG13" s="233"/>
      <c r="DH13" s="233"/>
      <c r="DI13" s="233"/>
      <c r="DJ13" s="233"/>
      <c r="DK13" s="233"/>
      <c r="DL13" s="233"/>
      <c r="DM13" s="233"/>
      <c r="DN13" s="233"/>
      <c r="DO13" s="233"/>
      <c r="DP13" s="233"/>
      <c r="DQ13" s="233"/>
      <c r="DR13" s="233"/>
      <c r="DS13" s="233"/>
      <c r="DT13" s="233"/>
      <c r="DU13" s="233"/>
      <c r="DV13" s="233"/>
      <c r="DW13" s="233"/>
      <c r="DX13" s="233"/>
      <c r="DY13" s="233"/>
      <c r="DZ13" s="233"/>
      <c r="EA13" s="233"/>
      <c r="EB13" s="233"/>
      <c r="EC13" s="233"/>
      <c r="ED13" s="233"/>
      <c r="EE13" s="233"/>
      <c r="EF13" s="233"/>
      <c r="EG13" s="233"/>
      <c r="EH13" s="233"/>
      <c r="EI13" s="233"/>
      <c r="EJ13" s="233"/>
      <c r="EK13" s="233"/>
      <c r="EL13" s="233"/>
      <c r="EM13" s="233"/>
      <c r="EN13" s="233"/>
      <c r="EO13" s="233"/>
      <c r="EP13" s="233"/>
      <c r="EQ13" s="233"/>
      <c r="ER13" s="233"/>
    </row>
    <row r="14" spans="1:148" outlineLevel="1" x14ac:dyDescent="0.2">
      <c r="A14" s="156" t="s">
        <v>205</v>
      </c>
      <c r="B14" s="156"/>
      <c r="C14" s="86"/>
      <c r="D14" s="373">
        <v>1</v>
      </c>
      <c r="E14" s="157">
        <v>43009</v>
      </c>
      <c r="F14" s="157">
        <v>43427</v>
      </c>
      <c r="G14" s="158">
        <v>1</v>
      </c>
      <c r="H14" s="159">
        <f>IF(D14&gt;0,IF(ISBLANK(A14),"",(NETWORKDAYS(E14,F14)*G14)*D14),"")</f>
        <v>300</v>
      </c>
      <c r="I14" s="160">
        <f t="shared" ref="I14:I31" si="0">IF(ISBLANK(A14),"",H14*$B$9)</f>
        <v>2400</v>
      </c>
      <c r="J14" s="172">
        <f>IF(ISBLANK(A14),"",VLOOKUP(A14,gsrates!$A$3:$AQ$39,VLOOKUP($B$5,gsrates!$A$42:$C$62,2,FALSE),FALSE))</f>
        <v>355</v>
      </c>
      <c r="K14" s="79">
        <f t="shared" ref="K14:K31" si="1">IF(ISBLANK(A14),"",I14*J14)</f>
        <v>852000</v>
      </c>
      <c r="L14" s="203">
        <f>IF(ISBLANK(A14),"",VLOOKUP(A14,gsrates!$A$3:$AQ$39,VLOOKUP($B$5,gsrates!$A$42:$C$62,3,FALSE),FALSE))</f>
        <v>180</v>
      </c>
      <c r="M14" s="203">
        <f t="shared" ref="M14:M31" si="2">IF(ISBLANK(A14),"",L14*H14*8)</f>
        <v>432000</v>
      </c>
      <c r="N14" s="79">
        <f t="shared" ref="N14:N31" si="3">IF(ISBLANK(A14),"",K14-M14)</f>
        <v>420000</v>
      </c>
      <c r="O14" s="173">
        <v>190</v>
      </c>
      <c r="P14" s="203">
        <f t="shared" ref="P14:P31" si="4">IF(ISBLANK(A14),"",H14*O14*$B$9)</f>
        <v>456000</v>
      </c>
      <c r="Q14" s="79">
        <f t="shared" ref="Q14:Q31" si="5">IF(ISBLANK(A14),"",P14-M14)</f>
        <v>24000</v>
      </c>
      <c r="R14" s="151">
        <f t="shared" ref="R14:R31" si="6">IF(ISBLANK(A14),"",Q14/P14)</f>
        <v>5.2631578947368418E-2</v>
      </c>
      <c r="S14" s="162">
        <f t="shared" ref="S14:S31" si="7">IF(ISBLANK(A14),"",1-P14/K14)</f>
        <v>0.46478873239436624</v>
      </c>
      <c r="T14" s="361">
        <f>IF(ISBLANK(A14),"",VLOOKUP(A14,gsrates!$A$3:$AR$39,44,FALSE))</f>
        <v>0</v>
      </c>
      <c r="U14" s="364" t="str">
        <f t="shared" ref="U14:U31" si="8">IF(ISBLANK(A14),"",CONCATENATE(C14,"-",$B$5))</f>
        <v>-NA</v>
      </c>
      <c r="V14" s="367">
        <f>IF(T14&gt;0,T14,0)</f>
        <v>0</v>
      </c>
      <c r="Y14" s="41" t="s">
        <v>155</v>
      </c>
    </row>
    <row r="15" spans="1:148" outlineLevel="1" x14ac:dyDescent="0.2">
      <c r="A15" s="156" t="s">
        <v>209</v>
      </c>
      <c r="B15" s="156"/>
      <c r="C15" s="86"/>
      <c r="D15" s="373">
        <v>2</v>
      </c>
      <c r="E15" s="157">
        <v>43010</v>
      </c>
      <c r="F15" s="157">
        <v>43428</v>
      </c>
      <c r="G15" s="158">
        <v>1</v>
      </c>
      <c r="H15" s="159">
        <f>IF(D15&gt;0,IF(ISBLANK(A15),"",(NETWORKDAYS(E15,F15)*G15)*D15),"")</f>
        <v>600</v>
      </c>
      <c r="I15" s="160">
        <f t="shared" si="0"/>
        <v>4800</v>
      </c>
      <c r="J15" s="172">
        <f>IF(ISBLANK(A15),"",VLOOKUP(A15,gsrates!$A$3:$AQ$39,VLOOKUP($B$5,gsrates!$A$42:$C$62,2,FALSE),FALSE))</f>
        <v>325</v>
      </c>
      <c r="K15" s="79">
        <f t="shared" si="1"/>
        <v>1560000</v>
      </c>
      <c r="L15" s="203">
        <f>IF(ISBLANK(A15),"",VLOOKUP(A15,gsrates!$A$3:$AQ$39,VLOOKUP($B$5,gsrates!$A$42:$C$62,3,FALSE),FALSE))</f>
        <v>116</v>
      </c>
      <c r="M15" s="203">
        <f t="shared" si="2"/>
        <v>556800</v>
      </c>
      <c r="N15" s="79">
        <f t="shared" si="3"/>
        <v>1003200</v>
      </c>
      <c r="O15" s="173">
        <v>120</v>
      </c>
      <c r="P15" s="203">
        <f t="shared" si="4"/>
        <v>576000</v>
      </c>
      <c r="Q15" s="79">
        <f t="shared" si="5"/>
        <v>19200</v>
      </c>
      <c r="R15" s="151">
        <f t="shared" si="6"/>
        <v>3.3333333333333333E-2</v>
      </c>
      <c r="S15" s="162">
        <f t="shared" si="7"/>
        <v>0.63076923076923075</v>
      </c>
      <c r="T15" s="361">
        <f>IF(ISBLANK(A15),"",VLOOKUP(A15,gsrates!$A$3:$AR$39,44,FALSE))</f>
        <v>0</v>
      </c>
      <c r="V15" s="367">
        <f t="shared" ref="V15:V31" si="9">IF(T15&gt;0,T15,0)</f>
        <v>0</v>
      </c>
    </row>
    <row r="16" spans="1:148" outlineLevel="1" x14ac:dyDescent="0.2">
      <c r="A16" s="156"/>
      <c r="B16" s="156"/>
      <c r="C16" s="86"/>
      <c r="D16" s="373"/>
      <c r="E16" s="157"/>
      <c r="F16" s="157"/>
      <c r="G16" s="158"/>
      <c r="H16" s="159" t="str">
        <f>IF(D16&gt;0,IF(ISBLANK(A16),"",(NETWORKDAYS(E16,F16)*G16)*D16),"")</f>
        <v/>
      </c>
      <c r="I16" s="160" t="str">
        <f t="shared" si="0"/>
        <v/>
      </c>
      <c r="J16" s="172" t="str">
        <f>IF(ISBLANK(A16),"",VLOOKUP(A16,gsrates!$A$3:$AQ$39,VLOOKUP($B$5,gsrates!$A$42:$C$62,2,FALSE),FALSE))</f>
        <v/>
      </c>
      <c r="K16" s="79" t="str">
        <f t="shared" si="1"/>
        <v/>
      </c>
      <c r="L16" s="203" t="str">
        <f>IF(ISBLANK(A16),"",VLOOKUP(A16,gsrates!$A$3:$AQ$39,VLOOKUP($B$5,gsrates!$A$42:$C$62,3,FALSE),FALSE))</f>
        <v/>
      </c>
      <c r="M16" s="203" t="str">
        <f t="shared" si="2"/>
        <v/>
      </c>
      <c r="N16" s="79" t="str">
        <f t="shared" si="3"/>
        <v/>
      </c>
      <c r="O16" s="173">
        <v>0</v>
      </c>
      <c r="P16" s="203" t="str">
        <f t="shared" si="4"/>
        <v/>
      </c>
      <c r="Q16" s="79" t="str">
        <f t="shared" si="5"/>
        <v/>
      </c>
      <c r="R16" s="151" t="str">
        <f t="shared" si="6"/>
        <v/>
      </c>
      <c r="S16" s="162" t="str">
        <f t="shared" si="7"/>
        <v/>
      </c>
      <c r="T16" s="361" t="str">
        <f>IF(ISBLANK(A16),"",VLOOKUP(A16,gsrates!$A$3:$AR$39,44,FALSE))</f>
        <v/>
      </c>
      <c r="V16" s="367" t="str">
        <f t="shared" si="9"/>
        <v/>
      </c>
    </row>
    <row r="17" spans="1:148" outlineLevel="1" x14ac:dyDescent="0.2">
      <c r="A17" s="156"/>
      <c r="B17" s="156"/>
      <c r="C17" s="86"/>
      <c r="D17" s="373"/>
      <c r="E17" s="157"/>
      <c r="F17" s="157"/>
      <c r="G17" s="158"/>
      <c r="H17" s="159" t="str">
        <f t="shared" ref="H17:H30" si="10">IF(D17&gt;0,(IF(ISBLANK(A17),"",NETWORKDAYS(E17,F17)*G17)*D17),"")</f>
        <v/>
      </c>
      <c r="I17" s="160" t="str">
        <f t="shared" si="0"/>
        <v/>
      </c>
      <c r="J17" s="172" t="str">
        <f>IF(ISBLANK(A17),"",VLOOKUP(A17,gsrates!$A$3:$AQ$39,VLOOKUP($B$5,gsrates!$A$42:$C$62,2,FALSE),FALSE))</f>
        <v/>
      </c>
      <c r="K17" s="79" t="str">
        <f t="shared" si="1"/>
        <v/>
      </c>
      <c r="L17" s="203" t="str">
        <f>IF(ISBLANK(A17),"",VLOOKUP(A17,gsrates!$A$3:$AQ$39,VLOOKUP($B$5,gsrates!$A$42:$C$62,3,FALSE),FALSE))</f>
        <v/>
      </c>
      <c r="M17" s="203" t="str">
        <f t="shared" si="2"/>
        <v/>
      </c>
      <c r="N17" s="79" t="str">
        <f t="shared" si="3"/>
        <v/>
      </c>
      <c r="O17" s="173">
        <v>0</v>
      </c>
      <c r="P17" s="203" t="str">
        <f t="shared" si="4"/>
        <v/>
      </c>
      <c r="Q17" s="79" t="str">
        <f t="shared" si="5"/>
        <v/>
      </c>
      <c r="R17" s="151" t="str">
        <f t="shared" si="6"/>
        <v/>
      </c>
      <c r="S17" s="162" t="str">
        <f t="shared" si="7"/>
        <v/>
      </c>
      <c r="T17" s="361" t="str">
        <f>IF(ISBLANK(A17),"",VLOOKUP(A17,gsrates!$A$3:$AR$39,44,FALSE))</f>
        <v/>
      </c>
      <c r="V17" s="367" t="str">
        <f t="shared" si="9"/>
        <v/>
      </c>
    </row>
    <row r="18" spans="1:148" outlineLevel="1" x14ac:dyDescent="0.2">
      <c r="A18" s="156"/>
      <c r="B18" s="156"/>
      <c r="C18" s="86"/>
      <c r="D18" s="373"/>
      <c r="E18" s="157"/>
      <c r="F18" s="157"/>
      <c r="G18" s="158"/>
      <c r="H18" s="159" t="str">
        <f t="shared" si="10"/>
        <v/>
      </c>
      <c r="I18" s="160" t="str">
        <f t="shared" si="0"/>
        <v/>
      </c>
      <c r="J18" s="172" t="str">
        <f>IF(ISBLANK(A18),"",VLOOKUP(A18,gsrates!$A$3:$AQ$39,VLOOKUP($B$5,gsrates!$A$42:$C$62,2,FALSE),FALSE))</f>
        <v/>
      </c>
      <c r="K18" s="79" t="str">
        <f t="shared" si="1"/>
        <v/>
      </c>
      <c r="L18" s="203" t="str">
        <f>IF(ISBLANK(A18),"",VLOOKUP(A18,gsrates!$A$3:$AQ$39,VLOOKUP($B$5,gsrates!$A$42:$C$62,3,FALSE),FALSE))</f>
        <v/>
      </c>
      <c r="M18" s="203" t="str">
        <f t="shared" si="2"/>
        <v/>
      </c>
      <c r="N18" s="79" t="str">
        <f t="shared" si="3"/>
        <v/>
      </c>
      <c r="O18" s="173">
        <v>0</v>
      </c>
      <c r="P18" s="203" t="str">
        <f t="shared" si="4"/>
        <v/>
      </c>
      <c r="Q18" s="79" t="str">
        <f t="shared" si="5"/>
        <v/>
      </c>
      <c r="R18" s="151" t="str">
        <f t="shared" si="6"/>
        <v/>
      </c>
      <c r="S18" s="162" t="str">
        <f t="shared" si="7"/>
        <v/>
      </c>
      <c r="T18" s="361" t="str">
        <f>IF(ISBLANK(A18),"",VLOOKUP(A18,gsrates!$A$3:$AR$39,44,FALSE))</f>
        <v/>
      </c>
      <c r="V18" s="367" t="str">
        <f t="shared" si="9"/>
        <v/>
      </c>
    </row>
    <row r="19" spans="1:148" outlineLevel="1" x14ac:dyDescent="0.2">
      <c r="A19" s="156"/>
      <c r="B19" s="156"/>
      <c r="C19" s="86"/>
      <c r="D19" s="373"/>
      <c r="E19" s="157"/>
      <c r="F19" s="157"/>
      <c r="G19" s="158"/>
      <c r="H19" s="159" t="str">
        <f t="shared" si="10"/>
        <v/>
      </c>
      <c r="I19" s="160" t="str">
        <f t="shared" si="0"/>
        <v/>
      </c>
      <c r="J19" s="172" t="str">
        <f>IF(ISBLANK(A19),"",VLOOKUP(A19,gsrates!$A$3:$AQ$39,VLOOKUP($B$5,gsrates!$A$42:$C$62,2,FALSE),FALSE))</f>
        <v/>
      </c>
      <c r="K19" s="79" t="str">
        <f t="shared" si="1"/>
        <v/>
      </c>
      <c r="L19" s="203" t="str">
        <f>IF(ISBLANK(A19),"",VLOOKUP(A19,gsrates!$A$3:$AQ$39,VLOOKUP($B$5,gsrates!$A$42:$C$62,3,FALSE),FALSE))</f>
        <v/>
      </c>
      <c r="M19" s="203" t="str">
        <f t="shared" si="2"/>
        <v/>
      </c>
      <c r="N19" s="79" t="str">
        <f t="shared" si="3"/>
        <v/>
      </c>
      <c r="O19" s="173">
        <v>0</v>
      </c>
      <c r="P19" s="203" t="str">
        <f t="shared" si="4"/>
        <v/>
      </c>
      <c r="Q19" s="79" t="str">
        <f t="shared" si="5"/>
        <v/>
      </c>
      <c r="R19" s="151" t="str">
        <f t="shared" si="6"/>
        <v/>
      </c>
      <c r="S19" s="162" t="str">
        <f t="shared" si="7"/>
        <v/>
      </c>
      <c r="T19" s="361" t="str">
        <f>IF(ISBLANK(A19),"",VLOOKUP(A19,gsrates!$A$3:$AR$39,44,FALSE))</f>
        <v/>
      </c>
      <c r="V19" s="367" t="str">
        <f t="shared" si="9"/>
        <v/>
      </c>
    </row>
    <row r="20" spans="1:148" outlineLevel="1" x14ac:dyDescent="0.2">
      <c r="A20" s="156"/>
      <c r="B20" s="156"/>
      <c r="C20" s="86"/>
      <c r="D20" s="373"/>
      <c r="E20" s="157"/>
      <c r="F20" s="157"/>
      <c r="G20" s="158"/>
      <c r="H20" s="159" t="str">
        <f t="shared" si="10"/>
        <v/>
      </c>
      <c r="I20" s="160" t="str">
        <f t="shared" si="0"/>
        <v/>
      </c>
      <c r="J20" s="172" t="str">
        <f>IF(ISBLANK(A20),"",VLOOKUP(A20,gsrates!$A$3:$AQ$39,VLOOKUP($B$5,gsrates!$A$42:$C$62,2,FALSE),FALSE))</f>
        <v/>
      </c>
      <c r="K20" s="79" t="str">
        <f t="shared" si="1"/>
        <v/>
      </c>
      <c r="L20" s="203" t="str">
        <f>IF(ISBLANK(A20),"",VLOOKUP(A20,gsrates!$A$3:$AQ$39,VLOOKUP($B$5,gsrates!$A$42:$C$62,3,FALSE),FALSE))</f>
        <v/>
      </c>
      <c r="M20" s="203" t="str">
        <f t="shared" si="2"/>
        <v/>
      </c>
      <c r="N20" s="79" t="str">
        <f t="shared" si="3"/>
        <v/>
      </c>
      <c r="O20" s="173">
        <v>0</v>
      </c>
      <c r="P20" s="203" t="str">
        <f t="shared" si="4"/>
        <v/>
      </c>
      <c r="Q20" s="79" t="str">
        <f t="shared" si="5"/>
        <v/>
      </c>
      <c r="R20" s="151" t="str">
        <f t="shared" si="6"/>
        <v/>
      </c>
      <c r="S20" s="162" t="str">
        <f t="shared" si="7"/>
        <v/>
      </c>
      <c r="T20" s="361" t="str">
        <f>IF(ISBLANK(A20),"",VLOOKUP(A20,gsrates!$A$3:$AR$39,44,FALSE))</f>
        <v/>
      </c>
      <c r="V20" s="367" t="str">
        <f t="shared" si="9"/>
        <v/>
      </c>
    </row>
    <row r="21" spans="1:148" outlineLevel="1" x14ac:dyDescent="0.2">
      <c r="A21" s="156"/>
      <c r="B21" s="156"/>
      <c r="C21" s="86"/>
      <c r="D21" s="373"/>
      <c r="E21" s="157"/>
      <c r="F21" s="157"/>
      <c r="G21" s="158"/>
      <c r="H21" s="159" t="str">
        <f t="shared" si="10"/>
        <v/>
      </c>
      <c r="I21" s="160" t="str">
        <f t="shared" si="0"/>
        <v/>
      </c>
      <c r="J21" s="172" t="str">
        <f>IF(ISBLANK(A21),"",VLOOKUP(A21,gsrates!$A$3:$AQ$39,VLOOKUP($B$5,gsrates!$A$42:$C$62,2,FALSE),FALSE))</f>
        <v/>
      </c>
      <c r="K21" s="79" t="str">
        <f t="shared" si="1"/>
        <v/>
      </c>
      <c r="L21" s="203" t="str">
        <f>IF(ISBLANK(A21),"",VLOOKUP(A21,gsrates!$A$3:$AQ$39,VLOOKUP($B$5,gsrates!$A$42:$C$62,3,FALSE),FALSE))</f>
        <v/>
      </c>
      <c r="M21" s="203" t="str">
        <f t="shared" si="2"/>
        <v/>
      </c>
      <c r="N21" s="79" t="str">
        <f t="shared" si="3"/>
        <v/>
      </c>
      <c r="O21" s="173">
        <v>0</v>
      </c>
      <c r="P21" s="203" t="str">
        <f t="shared" si="4"/>
        <v/>
      </c>
      <c r="Q21" s="79" t="str">
        <f t="shared" si="5"/>
        <v/>
      </c>
      <c r="R21" s="151" t="str">
        <f t="shared" si="6"/>
        <v/>
      </c>
      <c r="S21" s="162" t="str">
        <f t="shared" si="7"/>
        <v/>
      </c>
      <c r="T21" s="361" t="str">
        <f>IF(ISBLANK(A21),"",VLOOKUP(A21,gsrates!$A$3:$AR$39,44,FALSE))</f>
        <v/>
      </c>
      <c r="V21" s="367" t="str">
        <f t="shared" si="9"/>
        <v/>
      </c>
    </row>
    <row r="22" spans="1:148" outlineLevel="1" x14ac:dyDescent="0.2">
      <c r="A22" s="156"/>
      <c r="B22" s="156"/>
      <c r="C22" s="86"/>
      <c r="D22" s="373"/>
      <c r="E22" s="157"/>
      <c r="F22" s="157"/>
      <c r="G22" s="158"/>
      <c r="H22" s="159" t="str">
        <f t="shared" si="10"/>
        <v/>
      </c>
      <c r="I22" s="160" t="str">
        <f t="shared" si="0"/>
        <v/>
      </c>
      <c r="J22" s="172" t="str">
        <f>IF(ISBLANK(A22),"",VLOOKUP(A22,gsrates!$A$3:$AQ$39,VLOOKUP($B$5,gsrates!$A$42:$C$62,2,FALSE),FALSE))</f>
        <v/>
      </c>
      <c r="K22" s="79" t="str">
        <f t="shared" si="1"/>
        <v/>
      </c>
      <c r="L22" s="203" t="str">
        <f>IF(ISBLANK(A22),"",VLOOKUP(A22,gsrates!$A$3:$AQ$39,VLOOKUP($B$5,gsrates!$A$42:$C$62,3,FALSE),FALSE))</f>
        <v/>
      </c>
      <c r="M22" s="203" t="str">
        <f t="shared" si="2"/>
        <v/>
      </c>
      <c r="N22" s="79" t="str">
        <f t="shared" si="3"/>
        <v/>
      </c>
      <c r="O22" s="173">
        <v>0</v>
      </c>
      <c r="P22" s="203" t="str">
        <f t="shared" si="4"/>
        <v/>
      </c>
      <c r="Q22" s="79" t="str">
        <f t="shared" si="5"/>
        <v/>
      </c>
      <c r="R22" s="151" t="str">
        <f t="shared" si="6"/>
        <v/>
      </c>
      <c r="S22" s="162" t="str">
        <f t="shared" si="7"/>
        <v/>
      </c>
      <c r="T22" s="361" t="str">
        <f>IF(ISBLANK(A22),"",VLOOKUP(A22,gsrates!$A$3:$AR$39,44,FALSE))</f>
        <v/>
      </c>
      <c r="V22" s="367" t="str">
        <f t="shared" si="9"/>
        <v/>
      </c>
    </row>
    <row r="23" spans="1:148" outlineLevel="1" x14ac:dyDescent="0.2">
      <c r="A23" s="156"/>
      <c r="B23" s="156"/>
      <c r="C23" s="86"/>
      <c r="D23" s="373"/>
      <c r="E23" s="157"/>
      <c r="F23" s="157"/>
      <c r="G23" s="158"/>
      <c r="H23" s="159" t="str">
        <f t="shared" si="10"/>
        <v/>
      </c>
      <c r="I23" s="160" t="str">
        <f t="shared" si="0"/>
        <v/>
      </c>
      <c r="J23" s="172" t="str">
        <f>IF(ISBLANK(A23),"",VLOOKUP(A23,gsrates!$A$3:$AQ$39,VLOOKUP($B$5,gsrates!$A$42:$C$62,2,FALSE),FALSE))</f>
        <v/>
      </c>
      <c r="K23" s="79" t="str">
        <f t="shared" si="1"/>
        <v/>
      </c>
      <c r="L23" s="203" t="str">
        <f>IF(ISBLANK(A23),"",VLOOKUP(A23,gsrates!$A$3:$AQ$39,VLOOKUP($B$5,gsrates!$A$42:$C$62,3,FALSE),FALSE))</f>
        <v/>
      </c>
      <c r="M23" s="203" t="str">
        <f t="shared" si="2"/>
        <v/>
      </c>
      <c r="N23" s="79" t="str">
        <f t="shared" si="3"/>
        <v/>
      </c>
      <c r="O23" s="173">
        <v>0</v>
      </c>
      <c r="P23" s="203" t="str">
        <f t="shared" si="4"/>
        <v/>
      </c>
      <c r="Q23" s="79" t="str">
        <f t="shared" si="5"/>
        <v/>
      </c>
      <c r="R23" s="151" t="str">
        <f t="shared" si="6"/>
        <v/>
      </c>
      <c r="S23" s="162" t="str">
        <f t="shared" si="7"/>
        <v/>
      </c>
      <c r="T23" s="361" t="str">
        <f>IF(ISBLANK(A23),"",VLOOKUP(A23,gsrates!$A$3:$AR$39,44,FALSE))</f>
        <v/>
      </c>
      <c r="U23" s="364" t="str">
        <f t="shared" si="8"/>
        <v/>
      </c>
      <c r="V23" s="367" t="str">
        <f t="shared" si="9"/>
        <v/>
      </c>
    </row>
    <row r="24" spans="1:148" outlineLevel="1" x14ac:dyDescent="0.2">
      <c r="A24" s="156"/>
      <c r="B24" s="156"/>
      <c r="C24" s="86"/>
      <c r="D24" s="373"/>
      <c r="E24" s="157"/>
      <c r="F24" s="157"/>
      <c r="G24" s="158"/>
      <c r="H24" s="159" t="str">
        <f t="shared" si="10"/>
        <v/>
      </c>
      <c r="I24" s="160" t="str">
        <f t="shared" si="0"/>
        <v/>
      </c>
      <c r="J24" s="172" t="str">
        <f>IF(ISBLANK(A24),"",VLOOKUP(A24,gsrates!$A$3:$AQ$39,VLOOKUP($B$5,gsrates!$A$42:$C$62,2,FALSE),FALSE))</f>
        <v/>
      </c>
      <c r="K24" s="79" t="str">
        <f t="shared" si="1"/>
        <v/>
      </c>
      <c r="L24" s="203" t="str">
        <f>IF(ISBLANK(A24),"",VLOOKUP(A24,gsrates!$A$3:$AQ$39,VLOOKUP($B$5,gsrates!$A$42:$C$62,3,FALSE),FALSE))</f>
        <v/>
      </c>
      <c r="M24" s="203" t="str">
        <f t="shared" si="2"/>
        <v/>
      </c>
      <c r="N24" s="79" t="str">
        <f t="shared" si="3"/>
        <v/>
      </c>
      <c r="O24" s="173">
        <v>0</v>
      </c>
      <c r="P24" s="203" t="str">
        <f t="shared" si="4"/>
        <v/>
      </c>
      <c r="Q24" s="79" t="str">
        <f t="shared" si="5"/>
        <v/>
      </c>
      <c r="R24" s="151" t="str">
        <f t="shared" si="6"/>
        <v/>
      </c>
      <c r="S24" s="162" t="str">
        <f t="shared" si="7"/>
        <v/>
      </c>
      <c r="T24" s="361" t="str">
        <f>IF(ISBLANK(A24),"",VLOOKUP(A24,gsrates!$A$3:$AR$39,44,FALSE))</f>
        <v/>
      </c>
      <c r="U24" s="364" t="str">
        <f t="shared" si="8"/>
        <v/>
      </c>
      <c r="V24" s="367" t="str">
        <f t="shared" si="9"/>
        <v/>
      </c>
    </row>
    <row r="25" spans="1:148" outlineLevel="1" x14ac:dyDescent="0.2">
      <c r="A25" s="156"/>
      <c r="B25" s="156"/>
      <c r="C25" s="86"/>
      <c r="D25" s="373"/>
      <c r="E25" s="157"/>
      <c r="F25" s="157"/>
      <c r="G25" s="158"/>
      <c r="H25" s="159" t="str">
        <f t="shared" si="10"/>
        <v/>
      </c>
      <c r="I25" s="160" t="str">
        <f t="shared" si="0"/>
        <v/>
      </c>
      <c r="J25" s="172" t="str">
        <f>IF(ISBLANK(A25),"",VLOOKUP(A25,gsrates!$A$3:$AQ$39,VLOOKUP($B$5,gsrates!$A$42:$C$62,2,FALSE),FALSE))</f>
        <v/>
      </c>
      <c r="K25" s="79" t="str">
        <f t="shared" si="1"/>
        <v/>
      </c>
      <c r="L25" s="203" t="str">
        <f>IF(ISBLANK(A25),"",VLOOKUP(A25,gsrates!$A$3:$AQ$39,VLOOKUP($B$5,gsrates!$A$42:$C$62,3,FALSE),FALSE))</f>
        <v/>
      </c>
      <c r="M25" s="203" t="str">
        <f t="shared" si="2"/>
        <v/>
      </c>
      <c r="N25" s="79" t="str">
        <f t="shared" si="3"/>
        <v/>
      </c>
      <c r="O25" s="173">
        <v>0</v>
      </c>
      <c r="P25" s="203" t="str">
        <f t="shared" si="4"/>
        <v/>
      </c>
      <c r="Q25" s="79" t="str">
        <f t="shared" si="5"/>
        <v/>
      </c>
      <c r="R25" s="151" t="str">
        <f t="shared" si="6"/>
        <v/>
      </c>
      <c r="S25" s="162" t="str">
        <f t="shared" si="7"/>
        <v/>
      </c>
      <c r="T25" s="361" t="str">
        <f>IF(ISBLANK(A25),"",VLOOKUP(A25,gsrates!$A$3:$AR$39,44,FALSE))</f>
        <v/>
      </c>
      <c r="U25" s="364" t="str">
        <f t="shared" si="8"/>
        <v/>
      </c>
      <c r="V25" s="367" t="str">
        <f t="shared" si="9"/>
        <v/>
      </c>
    </row>
    <row r="26" spans="1:148" outlineLevel="1" x14ac:dyDescent="0.2">
      <c r="A26" s="156"/>
      <c r="B26" s="156"/>
      <c r="C26" s="86"/>
      <c r="D26" s="373"/>
      <c r="E26" s="157"/>
      <c r="F26" s="157"/>
      <c r="G26" s="158"/>
      <c r="H26" s="159" t="str">
        <f t="shared" si="10"/>
        <v/>
      </c>
      <c r="I26" s="160" t="str">
        <f t="shared" si="0"/>
        <v/>
      </c>
      <c r="J26" s="172" t="str">
        <f>IF(ISBLANK(A26),"",VLOOKUP(A26,gsrates!$A$3:$AQ$39,VLOOKUP($B$5,gsrates!$A$42:$C$62,2,FALSE),FALSE))</f>
        <v/>
      </c>
      <c r="K26" s="79" t="str">
        <f t="shared" si="1"/>
        <v/>
      </c>
      <c r="L26" s="203" t="str">
        <f>IF(ISBLANK(A26),"",VLOOKUP(A26,gsrates!$A$3:$AQ$39,VLOOKUP($B$5,gsrates!$A$42:$C$62,3,FALSE),FALSE))</f>
        <v/>
      </c>
      <c r="M26" s="203" t="str">
        <f t="shared" si="2"/>
        <v/>
      </c>
      <c r="N26" s="79" t="str">
        <f t="shared" si="3"/>
        <v/>
      </c>
      <c r="O26" s="173">
        <v>0</v>
      </c>
      <c r="P26" s="203" t="str">
        <f t="shared" si="4"/>
        <v/>
      </c>
      <c r="Q26" s="79" t="str">
        <f t="shared" si="5"/>
        <v/>
      </c>
      <c r="R26" s="151" t="str">
        <f t="shared" si="6"/>
        <v/>
      </c>
      <c r="S26" s="162" t="str">
        <f t="shared" si="7"/>
        <v/>
      </c>
      <c r="T26" s="361" t="str">
        <f>IF(ISBLANK(A26),"",VLOOKUP(A26,gsrates!$A$3:$AR$39,44,FALSE))</f>
        <v/>
      </c>
      <c r="U26" s="364" t="str">
        <f t="shared" si="8"/>
        <v/>
      </c>
      <c r="V26" s="367" t="str">
        <f t="shared" si="9"/>
        <v/>
      </c>
    </row>
    <row r="27" spans="1:148" outlineLevel="1" x14ac:dyDescent="0.2">
      <c r="A27" s="156"/>
      <c r="B27" s="156"/>
      <c r="C27" s="86"/>
      <c r="D27" s="373"/>
      <c r="E27" s="157"/>
      <c r="F27" s="157"/>
      <c r="G27" s="158"/>
      <c r="H27" s="159" t="str">
        <f t="shared" si="10"/>
        <v/>
      </c>
      <c r="I27" s="160" t="str">
        <f t="shared" si="0"/>
        <v/>
      </c>
      <c r="J27" s="172" t="str">
        <f>IF(ISBLANK(A27),"",VLOOKUP(A27,gsrates!$A$3:$AQ$39,VLOOKUP($B$5,gsrates!$A$42:$C$62,2,FALSE),FALSE))</f>
        <v/>
      </c>
      <c r="K27" s="79" t="str">
        <f t="shared" si="1"/>
        <v/>
      </c>
      <c r="L27" s="203" t="str">
        <f>IF(ISBLANK(A27),"",VLOOKUP(A27,gsrates!$A$3:$AQ$39,VLOOKUP($B$5,gsrates!$A$42:$C$62,3,FALSE),FALSE))</f>
        <v/>
      </c>
      <c r="M27" s="203" t="str">
        <f t="shared" si="2"/>
        <v/>
      </c>
      <c r="N27" s="79" t="str">
        <f t="shared" si="3"/>
        <v/>
      </c>
      <c r="O27" s="173">
        <v>0</v>
      </c>
      <c r="P27" s="203" t="str">
        <f t="shared" si="4"/>
        <v/>
      </c>
      <c r="Q27" s="79" t="str">
        <f t="shared" si="5"/>
        <v/>
      </c>
      <c r="R27" s="151" t="str">
        <f t="shared" si="6"/>
        <v/>
      </c>
      <c r="S27" s="162" t="str">
        <f t="shared" si="7"/>
        <v/>
      </c>
      <c r="T27" s="361" t="str">
        <f>IF(ISBLANK(A27),"",VLOOKUP(A27,gsrates!$A$3:$AR$39,44,FALSE))</f>
        <v/>
      </c>
      <c r="U27" s="364" t="str">
        <f t="shared" si="8"/>
        <v/>
      </c>
      <c r="V27" s="367" t="str">
        <f t="shared" si="9"/>
        <v/>
      </c>
    </row>
    <row r="28" spans="1:148" outlineLevel="1" x14ac:dyDescent="0.2">
      <c r="A28" s="156"/>
      <c r="B28" s="156"/>
      <c r="C28" s="86"/>
      <c r="D28" s="373"/>
      <c r="E28" s="157"/>
      <c r="F28" s="157"/>
      <c r="G28" s="158"/>
      <c r="H28" s="159" t="str">
        <f t="shared" si="10"/>
        <v/>
      </c>
      <c r="I28" s="160" t="str">
        <f t="shared" si="0"/>
        <v/>
      </c>
      <c r="J28" s="172" t="str">
        <f>IF(ISBLANK(A28),"",VLOOKUP(A28,gsrates!$A$3:$AQ$39,VLOOKUP($B$5,gsrates!$A$42:$C$62,2,FALSE),FALSE))</f>
        <v/>
      </c>
      <c r="K28" s="79" t="str">
        <f t="shared" si="1"/>
        <v/>
      </c>
      <c r="L28" s="203" t="str">
        <f>IF(ISBLANK(A28),"",VLOOKUP(A28,gsrates!$A$3:$AQ$39,VLOOKUP($B$5,gsrates!$A$42:$C$62,3,FALSE),FALSE))</f>
        <v/>
      </c>
      <c r="M28" s="203" t="str">
        <f t="shared" si="2"/>
        <v/>
      </c>
      <c r="N28" s="79" t="str">
        <f t="shared" si="3"/>
        <v/>
      </c>
      <c r="O28" s="173">
        <v>0</v>
      </c>
      <c r="P28" s="203" t="str">
        <f t="shared" si="4"/>
        <v/>
      </c>
      <c r="Q28" s="79" t="str">
        <f t="shared" si="5"/>
        <v/>
      </c>
      <c r="R28" s="151" t="str">
        <f t="shared" si="6"/>
        <v/>
      </c>
      <c r="S28" s="162" t="str">
        <f t="shared" si="7"/>
        <v/>
      </c>
      <c r="T28" s="361" t="str">
        <f>IF(ISBLANK(A28),"",VLOOKUP(A28,gsrates!$A$3:$AR$39,44,FALSE))</f>
        <v/>
      </c>
      <c r="U28" s="364" t="str">
        <f t="shared" si="8"/>
        <v/>
      </c>
      <c r="V28" s="367" t="str">
        <f t="shared" si="9"/>
        <v/>
      </c>
    </row>
    <row r="29" spans="1:148" outlineLevel="1" x14ac:dyDescent="0.2">
      <c r="A29" s="156"/>
      <c r="B29" s="156"/>
      <c r="C29" s="86"/>
      <c r="D29" s="373"/>
      <c r="E29" s="157"/>
      <c r="F29" s="157"/>
      <c r="G29" s="158"/>
      <c r="H29" s="159" t="str">
        <f t="shared" si="10"/>
        <v/>
      </c>
      <c r="I29" s="160" t="str">
        <f t="shared" si="0"/>
        <v/>
      </c>
      <c r="J29" s="172" t="str">
        <f>IF(ISBLANK(A29),"",VLOOKUP(A29,gsrates!$A$3:$AQ$39,VLOOKUP($B$5,gsrates!$A$42:$C$62,2,FALSE),FALSE))</f>
        <v/>
      </c>
      <c r="K29" s="79" t="str">
        <f t="shared" si="1"/>
        <v/>
      </c>
      <c r="L29" s="203" t="str">
        <f>IF(ISBLANK(A29),"",VLOOKUP(A29,gsrates!$A$3:$AQ$39,VLOOKUP($B$5,gsrates!$A$42:$C$62,3,FALSE),FALSE))</f>
        <v/>
      </c>
      <c r="M29" s="203" t="str">
        <f t="shared" si="2"/>
        <v/>
      </c>
      <c r="N29" s="79" t="str">
        <f t="shared" si="3"/>
        <v/>
      </c>
      <c r="O29" s="173">
        <v>0</v>
      </c>
      <c r="P29" s="203" t="str">
        <f t="shared" si="4"/>
        <v/>
      </c>
      <c r="Q29" s="79" t="str">
        <f t="shared" si="5"/>
        <v/>
      </c>
      <c r="R29" s="151" t="str">
        <f t="shared" si="6"/>
        <v/>
      </c>
      <c r="S29" s="162" t="str">
        <f t="shared" si="7"/>
        <v/>
      </c>
      <c r="T29" s="361" t="str">
        <f>IF(ISBLANK(A29),"",VLOOKUP(A29,gsrates!$A$3:$AR$39,44,FALSE))</f>
        <v/>
      </c>
      <c r="U29" s="364" t="str">
        <f t="shared" si="8"/>
        <v/>
      </c>
      <c r="V29" s="367" t="str">
        <f t="shared" si="9"/>
        <v/>
      </c>
    </row>
    <row r="30" spans="1:148" outlineLevel="1" x14ac:dyDescent="0.2">
      <c r="A30" s="156"/>
      <c r="B30" s="156"/>
      <c r="C30" s="86"/>
      <c r="D30" s="373"/>
      <c r="E30" s="157"/>
      <c r="F30" s="157"/>
      <c r="G30" s="158"/>
      <c r="H30" s="159" t="str">
        <f t="shared" si="10"/>
        <v/>
      </c>
      <c r="I30" s="160" t="str">
        <f t="shared" si="0"/>
        <v/>
      </c>
      <c r="J30" s="172" t="str">
        <f>IF(ISBLANK(A30),"",VLOOKUP(A30,gsrates!$A$3:$AQ$39,VLOOKUP($B$5,gsrates!$A$42:$C$62,2,FALSE),FALSE))</f>
        <v/>
      </c>
      <c r="K30" s="79" t="str">
        <f t="shared" si="1"/>
        <v/>
      </c>
      <c r="L30" s="203" t="str">
        <f>IF(ISBLANK(A30),"",VLOOKUP(A30,gsrates!$A$3:$AQ$39,VLOOKUP($B$5,gsrates!$A$42:$C$62,3,FALSE),FALSE))</f>
        <v/>
      </c>
      <c r="M30" s="203" t="str">
        <f t="shared" si="2"/>
        <v/>
      </c>
      <c r="N30" s="79" t="str">
        <f t="shared" si="3"/>
        <v/>
      </c>
      <c r="O30" s="173">
        <v>0</v>
      </c>
      <c r="P30" s="203" t="str">
        <f t="shared" si="4"/>
        <v/>
      </c>
      <c r="Q30" s="79" t="str">
        <f t="shared" si="5"/>
        <v/>
      </c>
      <c r="R30" s="151" t="str">
        <f t="shared" si="6"/>
        <v/>
      </c>
      <c r="S30" s="162" t="str">
        <f t="shared" si="7"/>
        <v/>
      </c>
      <c r="T30" s="361" t="str">
        <f>IF(ISBLANK(A30),"",VLOOKUP(A30,gsrates!$A$3:$AR$39,44,FALSE))</f>
        <v/>
      </c>
      <c r="U30" s="364" t="str">
        <f t="shared" si="8"/>
        <v/>
      </c>
      <c r="V30" s="367" t="str">
        <f t="shared" si="9"/>
        <v/>
      </c>
    </row>
    <row r="31" spans="1:148" s="11" customFormat="1" ht="13.5" outlineLevel="1" thickBot="1" x14ac:dyDescent="0.25">
      <c r="A31" s="163"/>
      <c r="B31" s="163"/>
      <c r="C31" s="163"/>
      <c r="D31" s="374"/>
      <c r="E31" s="164"/>
      <c r="F31" s="164"/>
      <c r="G31" s="165"/>
      <c r="H31" s="166" t="str">
        <f>IF(D31&gt;0,(IF(ISBLANK(A31),"",NETWORKDAYS(E31,F31)*G31)*D31),"")</f>
        <v/>
      </c>
      <c r="I31" s="167" t="str">
        <f t="shared" si="0"/>
        <v/>
      </c>
      <c r="J31" s="174" t="str">
        <f>IF(ISBLANK(A31),"",VLOOKUP(A31,gsrates!$A$3:$AQ$39,VLOOKUP($B$5,gsrates!$A$42:$C$62,2,FALSE),FALSE))</f>
        <v/>
      </c>
      <c r="K31" s="81" t="str">
        <f t="shared" si="1"/>
        <v/>
      </c>
      <c r="L31" s="204" t="str">
        <f>IF(ISBLANK(A31),"",VLOOKUP(A31,gsrates!$A$3:$AQ$39,VLOOKUP($B$5,gsrates!$A$42:$C$62,3,FALSE),FALSE))</f>
        <v/>
      </c>
      <c r="M31" s="204" t="str">
        <f t="shared" si="2"/>
        <v/>
      </c>
      <c r="N31" s="81" t="str">
        <f t="shared" si="3"/>
        <v/>
      </c>
      <c r="O31" s="171">
        <v>0</v>
      </c>
      <c r="P31" s="204" t="str">
        <f t="shared" si="4"/>
        <v/>
      </c>
      <c r="Q31" s="81" t="str">
        <f t="shared" si="5"/>
        <v/>
      </c>
      <c r="R31" s="154" t="str">
        <f t="shared" si="6"/>
        <v/>
      </c>
      <c r="S31" s="169" t="str">
        <f t="shared" si="7"/>
        <v/>
      </c>
      <c r="T31" s="361" t="str">
        <f>IF(ISBLANK(A31),"",VLOOKUP(A31,gsrates!$A$3:$AR$39,44,FALSE))</f>
        <v/>
      </c>
      <c r="U31" s="364" t="str">
        <f t="shared" si="8"/>
        <v/>
      </c>
      <c r="V31" s="367" t="str">
        <f t="shared" si="9"/>
        <v/>
      </c>
      <c r="W31" s="41"/>
      <c r="X31" s="41"/>
      <c r="Y31" s="41"/>
      <c r="Z31" s="41"/>
      <c r="AA31" s="41"/>
      <c r="AB31" s="41"/>
      <c r="AC31" s="41"/>
      <c r="AD31" s="41"/>
      <c r="AE31" s="41"/>
      <c r="AF31" s="41"/>
      <c r="AG31" s="41"/>
      <c r="AH31" s="41"/>
      <c r="AI31" s="41"/>
      <c r="AJ31" s="41"/>
      <c r="AK31" s="41"/>
      <c r="AL31" s="41"/>
      <c r="AM31" s="41"/>
      <c r="AN31" s="41"/>
      <c r="AO31" s="41"/>
      <c r="AP31" s="41"/>
      <c r="AQ31" s="41"/>
      <c r="AR31" s="41"/>
      <c r="AS31" s="41"/>
      <c r="AT31" s="41"/>
      <c r="AU31" s="41"/>
      <c r="AV31" s="41"/>
      <c r="AW31" s="41"/>
      <c r="AX31" s="41"/>
      <c r="AY31" s="41"/>
      <c r="AZ31" s="41"/>
      <c r="BA31" s="41"/>
      <c r="BB31" s="41"/>
      <c r="BC31" s="41"/>
      <c r="BD31" s="41"/>
      <c r="BE31" s="41"/>
      <c r="BF31" s="41"/>
      <c r="BG31" s="41"/>
      <c r="BH31" s="41"/>
      <c r="BI31" s="41"/>
      <c r="BJ31" s="41"/>
      <c r="BK31" s="41"/>
      <c r="BL31" s="41"/>
      <c r="BM31" s="41"/>
      <c r="BN31" s="41"/>
      <c r="BO31" s="41"/>
      <c r="BP31" s="41"/>
      <c r="BQ31" s="41"/>
      <c r="BR31" s="41"/>
      <c r="BS31" s="41"/>
      <c r="BT31" s="41"/>
      <c r="BU31" s="41"/>
      <c r="BV31" s="41"/>
      <c r="BW31" s="41"/>
      <c r="BX31" s="41"/>
      <c r="BY31" s="41"/>
      <c r="BZ31" s="41"/>
      <c r="CA31" s="41"/>
      <c r="CB31" s="41"/>
      <c r="CC31" s="41"/>
      <c r="CD31" s="41"/>
      <c r="CE31" s="41"/>
      <c r="CF31" s="41"/>
      <c r="CG31" s="41"/>
      <c r="CH31" s="41"/>
      <c r="CI31" s="41"/>
      <c r="CJ31" s="41"/>
      <c r="CK31" s="41"/>
      <c r="CL31" s="41"/>
      <c r="CM31" s="41"/>
      <c r="CN31" s="41"/>
      <c r="CO31" s="41"/>
      <c r="CP31" s="41"/>
      <c r="CQ31" s="41"/>
      <c r="CR31" s="41"/>
      <c r="CS31" s="41"/>
      <c r="CT31" s="41"/>
      <c r="CU31" s="41"/>
      <c r="CV31" s="41"/>
      <c r="CW31" s="41"/>
      <c r="CX31" s="41"/>
      <c r="CY31" s="41"/>
      <c r="CZ31" s="41"/>
      <c r="DA31" s="41"/>
      <c r="DB31" s="41"/>
      <c r="DC31" s="41"/>
      <c r="DD31" s="41"/>
      <c r="DE31" s="41"/>
      <c r="DF31" s="41"/>
      <c r="DG31" s="41"/>
      <c r="DH31" s="41"/>
      <c r="DI31" s="41"/>
      <c r="DJ31" s="41"/>
      <c r="DK31" s="41"/>
      <c r="DL31" s="41"/>
      <c r="DM31" s="41"/>
      <c r="DN31" s="41"/>
      <c r="DO31" s="41"/>
      <c r="DP31" s="41"/>
      <c r="DQ31" s="41"/>
      <c r="DR31" s="41"/>
      <c r="DS31" s="41"/>
      <c r="DT31" s="41"/>
      <c r="DU31" s="41"/>
      <c r="DV31" s="41"/>
      <c r="DW31" s="41"/>
      <c r="DX31" s="41"/>
      <c r="DY31" s="41"/>
      <c r="DZ31" s="41"/>
      <c r="EA31" s="41"/>
      <c r="EB31" s="41"/>
      <c r="EC31" s="41"/>
      <c r="ED31" s="41"/>
      <c r="EE31" s="41"/>
      <c r="EF31" s="41"/>
      <c r="EG31" s="41"/>
      <c r="EH31" s="41"/>
      <c r="EI31" s="41"/>
      <c r="EJ31" s="41"/>
      <c r="EK31" s="41"/>
      <c r="EL31" s="41"/>
      <c r="EM31" s="41"/>
      <c r="EN31" s="41"/>
      <c r="EO31" s="41"/>
      <c r="EP31" s="41"/>
      <c r="EQ31" s="41"/>
      <c r="ER31" s="41"/>
    </row>
    <row r="32" spans="1:148" x14ac:dyDescent="0.2">
      <c r="A32" s="466" t="s">
        <v>11</v>
      </c>
      <c r="B32" s="466"/>
      <c r="C32" s="233"/>
      <c r="D32" s="371"/>
      <c r="E32" s="7"/>
      <c r="F32" s="7"/>
      <c r="G32" s="8"/>
      <c r="H32" s="9">
        <f>SUM(H14:H31)</f>
        <v>900</v>
      </c>
      <c r="I32" s="9">
        <f>SUM(I14:I31)</f>
        <v>7200</v>
      </c>
      <c r="J32" s="31"/>
      <c r="K32" s="36">
        <f>SUM(K14:K31)</f>
        <v>2412000</v>
      </c>
      <c r="L32" s="205"/>
      <c r="M32" s="205">
        <f>SUM(M14:M31)</f>
        <v>988800</v>
      </c>
      <c r="N32" s="36">
        <f>SUM(N14:N31)</f>
        <v>1423200</v>
      </c>
      <c r="O32" s="33"/>
      <c r="P32" s="205">
        <f>SUM(P14:P31)</f>
        <v>1032000</v>
      </c>
      <c r="Q32" s="36">
        <f>SUM(Q14:Q31)</f>
        <v>43200</v>
      </c>
      <c r="R32" s="15">
        <f>IF(H32=0,"",Q32/P32)</f>
        <v>4.1860465116279069E-2</v>
      </c>
      <c r="S32" s="8">
        <f>IF(H32=0,"",1-P32/K32)</f>
        <v>0.57213930348258701</v>
      </c>
      <c r="T32" s="362">
        <f>SUM(T14:T31)</f>
        <v>0</v>
      </c>
      <c r="V32" s="362">
        <f>SUM(V14:V31)</f>
        <v>0</v>
      </c>
    </row>
    <row r="33" spans="1:148" x14ac:dyDescent="0.2">
      <c r="E33" s="7"/>
      <c r="F33" s="7"/>
      <c r="G33" s="8"/>
      <c r="H33" s="9"/>
      <c r="I33" s="9"/>
      <c r="J33" s="31"/>
      <c r="K33" s="36"/>
      <c r="L33" s="205"/>
      <c r="M33" s="205"/>
      <c r="N33" s="36"/>
      <c r="O33" s="33"/>
      <c r="P33" s="205"/>
      <c r="Q33" s="36"/>
      <c r="R33" s="10"/>
      <c r="S33" s="8"/>
    </row>
    <row r="34" spans="1:148" outlineLevel="1" x14ac:dyDescent="0.2">
      <c r="B34" s="3"/>
      <c r="C34" s="3"/>
      <c r="D34" s="3"/>
      <c r="E34" s="5"/>
      <c r="F34" s="5"/>
      <c r="G34" s="5"/>
      <c r="H34" s="6"/>
      <c r="I34" s="117"/>
      <c r="J34" s="34"/>
      <c r="K34" s="38"/>
      <c r="L34" s="206"/>
      <c r="M34" s="206"/>
      <c r="N34" s="38"/>
      <c r="O34" s="34"/>
      <c r="P34" s="206"/>
      <c r="Q34" s="38"/>
      <c r="R34" s="6"/>
      <c r="S34" s="6"/>
    </row>
    <row r="35" spans="1:148" outlineLevel="1" x14ac:dyDescent="0.2">
      <c r="A35" s="12" t="s">
        <v>12</v>
      </c>
      <c r="B35" s="12" t="s">
        <v>53</v>
      </c>
      <c r="C35" s="12"/>
      <c r="D35" s="12"/>
      <c r="E35" s="13" t="s">
        <v>54</v>
      </c>
      <c r="F35" s="13" t="s">
        <v>55</v>
      </c>
      <c r="G35" s="13" t="s">
        <v>7</v>
      </c>
      <c r="H35" s="13" t="s">
        <v>20</v>
      </c>
      <c r="I35" s="118" t="s">
        <v>78</v>
      </c>
      <c r="J35" s="40" t="s">
        <v>10</v>
      </c>
      <c r="K35" s="13" t="s">
        <v>56</v>
      </c>
      <c r="L35" s="202" t="s">
        <v>57</v>
      </c>
      <c r="M35" s="214" t="s">
        <v>31</v>
      </c>
      <c r="N35" s="39" t="s">
        <v>21</v>
      </c>
      <c r="O35" s="35" t="s">
        <v>22</v>
      </c>
      <c r="P35" s="214" t="s">
        <v>58</v>
      </c>
      <c r="Q35" s="13" t="s">
        <v>32</v>
      </c>
      <c r="R35" s="13" t="s">
        <v>23</v>
      </c>
      <c r="S35" s="13" t="s">
        <v>24</v>
      </c>
    </row>
    <row r="36" spans="1:148" outlineLevel="1" x14ac:dyDescent="0.2">
      <c r="A36" s="86"/>
      <c r="B36" s="86"/>
      <c r="C36" s="86"/>
      <c r="D36" s="86"/>
      <c r="E36" s="87"/>
      <c r="F36" s="87"/>
      <c r="G36" s="158"/>
      <c r="H36" s="9" t="str">
        <f t="shared" ref="H36:H42" si="11">IF(ISBLANK(A36),"",NETWORKDAYS(E36,F36)*G36)</f>
        <v/>
      </c>
      <c r="I36" s="119" t="str">
        <f t="shared" ref="I36:I42" si="12">IF(ISBLANK(A36),"",H36*$B$9)</f>
        <v/>
      </c>
      <c r="J36" s="89"/>
      <c r="K36" s="36" t="str">
        <f t="shared" ref="K36:K42" si="13">IF(ISBLANK(A36),"",I36*J36)</f>
        <v/>
      </c>
      <c r="L36" s="207"/>
      <c r="M36" s="215" t="str">
        <f t="shared" ref="M36:M42" si="14">IF(ISBLANK(A36)," ",(L36*H36*$B$9))</f>
        <v xml:space="preserve"> </v>
      </c>
      <c r="N36" s="36" t="str">
        <f>IF(ISBLANK(A36),"",(J36*H36*8)-M36)</f>
        <v/>
      </c>
      <c r="O36" s="89">
        <v>0</v>
      </c>
      <c r="P36" s="205" t="str">
        <f t="shared" ref="P36:P42" si="15">IF(ISBLANK(A36),"",H36*O36*$B$9)</f>
        <v/>
      </c>
      <c r="Q36" s="36" t="str">
        <f t="shared" ref="Q36:Q42" si="16">IF(ISBLANK(A36),"",P36-M36)</f>
        <v/>
      </c>
      <c r="R36" s="15" t="str">
        <f t="shared" ref="R36:R42" si="17">IF(ISBLANK(A36),"",Q36/P36)</f>
        <v/>
      </c>
      <c r="S36" s="8" t="str">
        <f t="shared" ref="S36:S42" si="18">IF(ISBLANK(A36),"",1-P36/K36)</f>
        <v/>
      </c>
      <c r="U36" s="364" t="str">
        <f t="shared" ref="U36:U42" si="19">IF(ISBLANK(A36),"",CONCATENATE(C36,"-",$B$5))</f>
        <v/>
      </c>
      <c r="Y36" s="233"/>
    </row>
    <row r="37" spans="1:148" outlineLevel="1" x14ac:dyDescent="0.2">
      <c r="A37" s="86"/>
      <c r="B37" s="86"/>
      <c r="C37" s="86"/>
      <c r="D37" s="86"/>
      <c r="E37" s="87"/>
      <c r="F37" s="354"/>
      <c r="G37" s="158"/>
      <c r="H37" s="9" t="str">
        <f t="shared" si="11"/>
        <v/>
      </c>
      <c r="I37" s="119" t="str">
        <f t="shared" si="12"/>
        <v/>
      </c>
      <c r="J37" s="89"/>
      <c r="K37" s="36" t="str">
        <f t="shared" si="13"/>
        <v/>
      </c>
      <c r="L37" s="207"/>
      <c r="M37" s="215" t="str">
        <f t="shared" si="14"/>
        <v xml:space="preserve"> </v>
      </c>
      <c r="N37" s="36" t="str">
        <f t="shared" ref="N37:N42" si="20">IF(ISBLANK(A37),"",K37-M37)</f>
        <v/>
      </c>
      <c r="O37" s="89">
        <v>0</v>
      </c>
      <c r="P37" s="205" t="str">
        <f t="shared" si="15"/>
        <v/>
      </c>
      <c r="Q37" s="36" t="str">
        <f t="shared" si="16"/>
        <v/>
      </c>
      <c r="R37" s="15" t="str">
        <f t="shared" si="17"/>
        <v/>
      </c>
      <c r="S37" s="8" t="str">
        <f t="shared" si="18"/>
        <v/>
      </c>
      <c r="U37" s="364" t="str">
        <f t="shared" si="19"/>
        <v/>
      </c>
    </row>
    <row r="38" spans="1:148" outlineLevel="1" x14ac:dyDescent="0.2">
      <c r="A38" s="86"/>
      <c r="B38" s="86"/>
      <c r="C38" s="86"/>
      <c r="D38" s="86"/>
      <c r="E38" s="87"/>
      <c r="F38" s="87"/>
      <c r="G38" s="158"/>
      <c r="H38" s="9" t="str">
        <f t="shared" si="11"/>
        <v/>
      </c>
      <c r="I38" s="119" t="str">
        <f t="shared" si="12"/>
        <v/>
      </c>
      <c r="J38" s="89"/>
      <c r="K38" s="36" t="str">
        <f t="shared" si="13"/>
        <v/>
      </c>
      <c r="L38" s="207"/>
      <c r="M38" s="215" t="str">
        <f t="shared" si="14"/>
        <v xml:space="preserve"> </v>
      </c>
      <c r="N38" s="36" t="str">
        <f t="shared" si="20"/>
        <v/>
      </c>
      <c r="O38" s="89"/>
      <c r="P38" s="205" t="str">
        <f t="shared" si="15"/>
        <v/>
      </c>
      <c r="Q38" s="36" t="str">
        <f t="shared" si="16"/>
        <v/>
      </c>
      <c r="R38" s="15" t="str">
        <f t="shared" si="17"/>
        <v/>
      </c>
      <c r="S38" s="8" t="str">
        <f t="shared" si="18"/>
        <v/>
      </c>
      <c r="U38" s="364" t="str">
        <f t="shared" si="19"/>
        <v/>
      </c>
    </row>
    <row r="39" spans="1:148" outlineLevel="1" x14ac:dyDescent="0.2">
      <c r="A39" s="86"/>
      <c r="B39" s="86"/>
      <c r="C39" s="86"/>
      <c r="D39" s="86"/>
      <c r="E39" s="87"/>
      <c r="F39" s="87"/>
      <c r="G39" s="158"/>
      <c r="H39" s="9" t="str">
        <f t="shared" si="11"/>
        <v/>
      </c>
      <c r="I39" s="119" t="str">
        <f t="shared" si="12"/>
        <v/>
      </c>
      <c r="J39" s="89"/>
      <c r="K39" s="36" t="str">
        <f t="shared" si="13"/>
        <v/>
      </c>
      <c r="L39" s="207"/>
      <c r="M39" s="215" t="str">
        <f t="shared" si="14"/>
        <v xml:space="preserve"> </v>
      </c>
      <c r="N39" s="36" t="str">
        <f t="shared" si="20"/>
        <v/>
      </c>
      <c r="O39" s="89"/>
      <c r="P39" s="205" t="str">
        <f t="shared" si="15"/>
        <v/>
      </c>
      <c r="Q39" s="36" t="str">
        <f t="shared" si="16"/>
        <v/>
      </c>
      <c r="R39" s="15" t="str">
        <f t="shared" si="17"/>
        <v/>
      </c>
      <c r="S39" s="8" t="str">
        <f t="shared" si="18"/>
        <v/>
      </c>
      <c r="U39" s="364" t="str">
        <f t="shared" si="19"/>
        <v/>
      </c>
    </row>
    <row r="40" spans="1:148" outlineLevel="1" x14ac:dyDescent="0.2">
      <c r="A40" s="86"/>
      <c r="B40" s="86"/>
      <c r="C40" s="86"/>
      <c r="D40" s="86"/>
      <c r="E40" s="87"/>
      <c r="F40" s="87"/>
      <c r="G40" s="158"/>
      <c r="H40" s="9" t="str">
        <f t="shared" si="11"/>
        <v/>
      </c>
      <c r="I40" s="119" t="str">
        <f t="shared" si="12"/>
        <v/>
      </c>
      <c r="J40" s="89"/>
      <c r="K40" s="36" t="str">
        <f t="shared" si="13"/>
        <v/>
      </c>
      <c r="L40" s="207"/>
      <c r="M40" s="215" t="str">
        <f t="shared" si="14"/>
        <v xml:space="preserve"> </v>
      </c>
      <c r="N40" s="36" t="str">
        <f t="shared" si="20"/>
        <v/>
      </c>
      <c r="O40" s="89"/>
      <c r="P40" s="205" t="str">
        <f t="shared" si="15"/>
        <v/>
      </c>
      <c r="Q40" s="36" t="str">
        <f t="shared" si="16"/>
        <v/>
      </c>
      <c r="R40" s="15" t="str">
        <f t="shared" si="17"/>
        <v/>
      </c>
      <c r="S40" s="8" t="str">
        <f t="shared" si="18"/>
        <v/>
      </c>
      <c r="U40" s="364" t="str">
        <f t="shared" si="19"/>
        <v/>
      </c>
    </row>
    <row r="41" spans="1:148" outlineLevel="1" x14ac:dyDescent="0.2">
      <c r="A41" s="86"/>
      <c r="B41" s="86"/>
      <c r="C41" s="86"/>
      <c r="D41" s="86"/>
      <c r="E41" s="87"/>
      <c r="F41" s="87"/>
      <c r="G41" s="158"/>
      <c r="H41" s="9" t="str">
        <f t="shared" si="11"/>
        <v/>
      </c>
      <c r="I41" s="119" t="str">
        <f t="shared" si="12"/>
        <v/>
      </c>
      <c r="J41" s="89"/>
      <c r="K41" s="36" t="str">
        <f t="shared" si="13"/>
        <v/>
      </c>
      <c r="L41" s="207"/>
      <c r="M41" s="215" t="str">
        <f t="shared" si="14"/>
        <v xml:space="preserve"> </v>
      </c>
      <c r="N41" s="36" t="str">
        <f t="shared" si="20"/>
        <v/>
      </c>
      <c r="O41" s="89"/>
      <c r="P41" s="205" t="str">
        <f t="shared" si="15"/>
        <v/>
      </c>
      <c r="Q41" s="36" t="str">
        <f t="shared" si="16"/>
        <v/>
      </c>
      <c r="R41" s="15" t="str">
        <f t="shared" si="17"/>
        <v/>
      </c>
      <c r="S41" s="8" t="str">
        <f t="shared" si="18"/>
        <v/>
      </c>
      <c r="U41" s="364" t="str">
        <f t="shared" si="19"/>
        <v/>
      </c>
    </row>
    <row r="42" spans="1:148" s="11" customFormat="1" ht="13.5" outlineLevel="1" thickBot="1" x14ac:dyDescent="0.25">
      <c r="A42" s="163"/>
      <c r="B42" s="163"/>
      <c r="C42" s="163"/>
      <c r="D42" s="163"/>
      <c r="E42" s="164"/>
      <c r="F42" s="164"/>
      <c r="G42" s="165"/>
      <c r="H42" s="166" t="str">
        <f t="shared" si="11"/>
        <v/>
      </c>
      <c r="I42" s="167" t="str">
        <f t="shared" si="12"/>
        <v/>
      </c>
      <c r="J42" s="171"/>
      <c r="K42" s="81" t="str">
        <f t="shared" si="13"/>
        <v/>
      </c>
      <c r="L42" s="208"/>
      <c r="M42" s="216" t="str">
        <f t="shared" si="14"/>
        <v xml:space="preserve"> </v>
      </c>
      <c r="N42" s="81" t="str">
        <f t="shared" si="20"/>
        <v/>
      </c>
      <c r="O42" s="171"/>
      <c r="P42" s="204" t="str">
        <f t="shared" si="15"/>
        <v/>
      </c>
      <c r="Q42" s="81" t="str">
        <f t="shared" si="16"/>
        <v/>
      </c>
      <c r="R42" s="154" t="str">
        <f t="shared" si="17"/>
        <v/>
      </c>
      <c r="S42" s="169" t="str">
        <f t="shared" si="18"/>
        <v/>
      </c>
      <c r="T42" s="363"/>
      <c r="U42" s="364" t="str">
        <f t="shared" si="19"/>
        <v/>
      </c>
      <c r="V42" s="367"/>
      <c r="W42" s="41"/>
      <c r="X42" s="41"/>
      <c r="Y42" s="41"/>
      <c r="Z42" s="41"/>
      <c r="AA42" s="41"/>
      <c r="AB42" s="41"/>
      <c r="AC42" s="41"/>
      <c r="AD42" s="41"/>
      <c r="AE42" s="41"/>
      <c r="AF42" s="41"/>
      <c r="AG42" s="41"/>
      <c r="AH42" s="41"/>
      <c r="AI42" s="41"/>
      <c r="AJ42" s="41"/>
      <c r="AK42" s="41"/>
      <c r="AL42" s="41"/>
      <c r="AM42" s="41"/>
      <c r="AN42" s="41"/>
      <c r="AO42" s="41"/>
      <c r="AP42" s="41"/>
      <c r="AQ42" s="41"/>
      <c r="AR42" s="41"/>
      <c r="AS42" s="41"/>
      <c r="AT42" s="41"/>
      <c r="AU42" s="41"/>
      <c r="AV42" s="41"/>
      <c r="AW42" s="41"/>
      <c r="AX42" s="41"/>
      <c r="AY42" s="41"/>
      <c r="AZ42" s="41"/>
      <c r="BA42" s="41"/>
      <c r="BB42" s="41"/>
      <c r="BC42" s="41"/>
      <c r="BD42" s="41"/>
      <c r="BE42" s="41"/>
      <c r="BF42" s="41"/>
      <c r="BG42" s="41"/>
      <c r="BH42" s="41"/>
      <c r="BI42" s="41"/>
      <c r="BJ42" s="41"/>
      <c r="BK42" s="41"/>
      <c r="BL42" s="41"/>
      <c r="BM42" s="41"/>
      <c r="BN42" s="41"/>
      <c r="BO42" s="41"/>
      <c r="BP42" s="41"/>
      <c r="BQ42" s="41"/>
      <c r="BR42" s="41"/>
      <c r="BS42" s="41"/>
      <c r="BT42" s="41"/>
      <c r="BU42" s="41"/>
      <c r="BV42" s="41"/>
      <c r="BW42" s="41"/>
      <c r="BX42" s="41"/>
      <c r="BY42" s="41"/>
      <c r="BZ42" s="41"/>
      <c r="CA42" s="41"/>
      <c r="CB42" s="41"/>
      <c r="CC42" s="41"/>
      <c r="CD42" s="41"/>
      <c r="CE42" s="41"/>
      <c r="CF42" s="41"/>
      <c r="CG42" s="41"/>
      <c r="CH42" s="41"/>
      <c r="CI42" s="41"/>
      <c r="CJ42" s="41"/>
      <c r="CK42" s="41"/>
      <c r="CL42" s="41"/>
      <c r="CM42" s="41"/>
      <c r="CN42" s="41"/>
      <c r="CO42" s="41"/>
      <c r="CP42" s="41"/>
      <c r="CQ42" s="41"/>
      <c r="CR42" s="41"/>
      <c r="CS42" s="41"/>
      <c r="CT42" s="41"/>
      <c r="CU42" s="41"/>
      <c r="CV42" s="41"/>
      <c r="CW42" s="41"/>
      <c r="CX42" s="41"/>
      <c r="CY42" s="41"/>
      <c r="CZ42" s="41"/>
      <c r="DA42" s="41"/>
      <c r="DB42" s="41"/>
      <c r="DC42" s="41"/>
      <c r="DD42" s="41"/>
      <c r="DE42" s="41"/>
      <c r="DF42" s="41"/>
      <c r="DG42" s="41"/>
      <c r="DH42" s="41"/>
      <c r="DI42" s="41"/>
      <c r="DJ42" s="41"/>
      <c r="DK42" s="41"/>
      <c r="DL42" s="41"/>
      <c r="DM42" s="41"/>
      <c r="DN42" s="41"/>
      <c r="DO42" s="41"/>
      <c r="DP42" s="41"/>
      <c r="DQ42" s="41"/>
      <c r="DR42" s="41"/>
      <c r="DS42" s="41"/>
      <c r="DT42" s="41"/>
      <c r="DU42" s="41"/>
      <c r="DV42" s="41"/>
      <c r="DW42" s="41"/>
      <c r="DX42" s="41"/>
      <c r="DY42" s="41"/>
      <c r="DZ42" s="41"/>
      <c r="EA42" s="41"/>
      <c r="EB42" s="41"/>
      <c r="EC42" s="41"/>
      <c r="ED42" s="41"/>
      <c r="EE42" s="41"/>
      <c r="EF42" s="41"/>
      <c r="EG42" s="41"/>
      <c r="EH42" s="41"/>
      <c r="EI42" s="41"/>
      <c r="EJ42" s="41"/>
      <c r="EK42" s="41"/>
      <c r="EL42" s="41"/>
      <c r="EM42" s="41"/>
      <c r="EN42" s="41"/>
      <c r="EO42" s="41"/>
      <c r="EP42" s="41"/>
      <c r="EQ42" s="41"/>
      <c r="ER42" s="41"/>
    </row>
    <row r="43" spans="1:148" x14ac:dyDescent="0.2">
      <c r="A43" s="3" t="s">
        <v>13</v>
      </c>
      <c r="H43" s="9">
        <f>SUM(H36:H42)</f>
        <v>0</v>
      </c>
      <c r="I43" s="9">
        <f>SUM(I36:I42)</f>
        <v>0</v>
      </c>
      <c r="J43" s="31"/>
      <c r="K43" s="36">
        <f>SUM(K36:K42)</f>
        <v>0</v>
      </c>
      <c r="L43" s="205"/>
      <c r="M43" s="205">
        <f>SUM(M36:M42)</f>
        <v>0</v>
      </c>
      <c r="N43" s="36">
        <f>SUM(N36:N42)</f>
        <v>0</v>
      </c>
      <c r="O43" s="33"/>
      <c r="P43" s="205">
        <f>SUM(P36:P42)</f>
        <v>0</v>
      </c>
      <c r="Q43" s="36">
        <f>SUM(Q36:Q42)</f>
        <v>0</v>
      </c>
      <c r="R43" s="15">
        <f>IF(ISBLANK(A43),"",IF(P43&gt;0,Q43/P43,0))</f>
        <v>0</v>
      </c>
      <c r="S43" s="8">
        <f>IF(ISBLANK(A43),"",IF(K43&gt;0,1-P43/K43,1))</f>
        <v>1</v>
      </c>
    </row>
    <row r="44" spans="1:148" x14ac:dyDescent="0.2">
      <c r="J44" s="31"/>
      <c r="K44" s="36"/>
      <c r="L44" s="205"/>
      <c r="M44" s="205"/>
      <c r="N44" s="36"/>
      <c r="P44" s="205"/>
      <c r="Q44" s="36"/>
    </row>
    <row r="45" spans="1:148" x14ac:dyDescent="0.2">
      <c r="A45" s="3" t="s">
        <v>14</v>
      </c>
      <c r="B45" s="459">
        <v>0</v>
      </c>
      <c r="H45" s="441">
        <f>B$45*($H$32+$H$43)</f>
        <v>0</v>
      </c>
      <c r="I45" s="446">
        <f>IF(ISBLANK($B$6),0,H45*$B$9)</f>
        <v>0</v>
      </c>
      <c r="J45" s="33"/>
      <c r="K45" s="441">
        <f>$B45*($K$32+$K$43)</f>
        <v>0</v>
      </c>
      <c r="L45" s="205"/>
      <c r="M45" s="441">
        <f>$B45*($M$32+$M$43)</f>
        <v>0</v>
      </c>
      <c r="N45" s="441">
        <f>$B45*($N$32+$N$43)</f>
        <v>0</v>
      </c>
      <c r="P45" s="441">
        <f>$B45*($P$32+$P$43)</f>
        <v>0</v>
      </c>
      <c r="Q45" s="441">
        <f>$B45*($Q$32+$Q$43)</f>
        <v>0</v>
      </c>
      <c r="R45" s="15" t="str">
        <f>IF(H45=0,"",Q45/P45)</f>
        <v/>
      </c>
      <c r="S45" s="8" t="str">
        <f>IF(H45=0,"",1-P45/K45)</f>
        <v/>
      </c>
    </row>
    <row r="46" spans="1:148" x14ac:dyDescent="0.2">
      <c r="A46" s="3" t="s">
        <v>165</v>
      </c>
      <c r="B46" s="459">
        <v>0</v>
      </c>
      <c r="H46" s="441">
        <f>B$46*($H$32+$H$43)</f>
        <v>0</v>
      </c>
      <c r="I46" s="446">
        <f>IF(ISBLANK($B$6),0,H46*$B$9)</f>
        <v>0</v>
      </c>
      <c r="J46" s="33"/>
      <c r="K46" s="441">
        <f>$B46*($K$32+$K$43)</f>
        <v>0</v>
      </c>
      <c r="L46" s="205"/>
      <c r="M46" s="441">
        <f>$B46*($M$32+$M$43)</f>
        <v>0</v>
      </c>
      <c r="N46" s="441">
        <f>$B46*($N$32+$N$43)</f>
        <v>0</v>
      </c>
      <c r="P46" s="441">
        <f>$B46*($P$32+$P$43)</f>
        <v>0</v>
      </c>
      <c r="Q46" s="441">
        <f>$B46*($Q$32+$Q$43)</f>
        <v>0</v>
      </c>
      <c r="R46" s="15" t="str">
        <f>IF(H46=0,"",Q46/P46)</f>
        <v/>
      </c>
      <c r="S46" s="8" t="str">
        <f>IF(H46=0,"",1-P46/K46)</f>
        <v/>
      </c>
    </row>
    <row r="47" spans="1:148" x14ac:dyDescent="0.2">
      <c r="A47" s="3" t="s">
        <v>164</v>
      </c>
      <c r="B47" s="459">
        <v>0</v>
      </c>
      <c r="H47" s="441">
        <f>B$47*($H$32+$H$43)</f>
        <v>0</v>
      </c>
      <c r="I47" s="446">
        <f>IF(ISBLANK($B$6),0,H47*$B$9)</f>
        <v>0</v>
      </c>
      <c r="J47" s="33"/>
      <c r="K47" s="441">
        <f>$B47*($K$32+$K$43)</f>
        <v>0</v>
      </c>
      <c r="L47" s="205"/>
      <c r="M47" s="441">
        <f>$B47*($M$32+$M$43)</f>
        <v>0</v>
      </c>
      <c r="N47" s="441">
        <f>$B47*($N$32+$N$43)</f>
        <v>0</v>
      </c>
      <c r="P47" s="441">
        <f>$B47*($P$32+$P$43)</f>
        <v>0</v>
      </c>
      <c r="Q47" s="441">
        <f>$B47*($Q$32+$Q$43)</f>
        <v>0</v>
      </c>
      <c r="R47" s="15" t="str">
        <f>IF(H47=0,"",Q47/P47)</f>
        <v/>
      </c>
      <c r="S47" s="8" t="str">
        <f>IF(H47=0,"",1-P47/K47)</f>
        <v/>
      </c>
    </row>
    <row r="48" spans="1:148" x14ac:dyDescent="0.2">
      <c r="A48" s="3" t="s">
        <v>141</v>
      </c>
      <c r="H48" s="17">
        <f>H32+H43+H45+H46+H47</f>
        <v>900</v>
      </c>
      <c r="I48" s="446">
        <f>IF(ISBLANK($B$6),0,H48*$B$9)</f>
        <v>7200</v>
      </c>
      <c r="J48" s="33"/>
      <c r="K48" s="17">
        <f>K32+K43+K45+K46+K47</f>
        <v>2412000</v>
      </c>
      <c r="L48" s="205"/>
      <c r="M48" s="17">
        <f>M32+M43+M45+M46+M47</f>
        <v>988800</v>
      </c>
      <c r="N48" s="17">
        <f>N32+N43+N45+N47+N58+N46</f>
        <v>1423200</v>
      </c>
      <c r="P48" s="17">
        <f>P32+P43+P45+P46+P47</f>
        <v>1032000</v>
      </c>
      <c r="Q48" s="17">
        <f>Q32+Q43+Q45+Q47+Q58+Q46</f>
        <v>43200</v>
      </c>
      <c r="R48" s="15">
        <f>IF(ISBLANK(A48),"",IF(P48&gt;0,Q48/P48,0))</f>
        <v>4.1860465116279069E-2</v>
      </c>
      <c r="S48" s="8"/>
    </row>
    <row r="49" spans="1:148" x14ac:dyDescent="0.2">
      <c r="A49" s="3"/>
      <c r="H49" s="17"/>
      <c r="I49" s="119"/>
      <c r="J49" s="33"/>
      <c r="K49" s="50"/>
      <c r="L49" s="205"/>
      <c r="M49" s="50"/>
      <c r="N49" s="50"/>
      <c r="P49" s="50"/>
      <c r="Q49" s="50"/>
      <c r="R49" s="15"/>
      <c r="S49" s="8"/>
    </row>
    <row r="50" spans="1:148" hidden="1" outlineLevel="1" x14ac:dyDescent="0.2">
      <c r="A50" s="12" t="s">
        <v>139</v>
      </c>
      <c r="B50" s="12"/>
      <c r="C50" s="12"/>
      <c r="D50" s="12"/>
      <c r="E50" s="13" t="s">
        <v>54</v>
      </c>
      <c r="F50" s="13" t="s">
        <v>55</v>
      </c>
      <c r="G50" s="13" t="s">
        <v>143</v>
      </c>
      <c r="H50" s="13" t="s">
        <v>20</v>
      </c>
      <c r="I50" s="118" t="s">
        <v>78</v>
      </c>
      <c r="J50" s="40" t="s">
        <v>10</v>
      </c>
      <c r="K50" s="13" t="s">
        <v>56</v>
      </c>
      <c r="L50" s="202"/>
      <c r="M50" s="214" t="s">
        <v>31</v>
      </c>
      <c r="N50" s="39" t="s">
        <v>21</v>
      </c>
      <c r="O50" s="35" t="s">
        <v>22</v>
      </c>
      <c r="P50" s="214" t="s">
        <v>58</v>
      </c>
      <c r="Q50" s="13" t="s">
        <v>32</v>
      </c>
      <c r="R50" s="13"/>
      <c r="S50" s="13"/>
    </row>
    <row r="51" spans="1:148" hidden="1" outlineLevel="1" x14ac:dyDescent="0.2">
      <c r="A51" s="156"/>
      <c r="B51" s="156"/>
      <c r="C51" s="156"/>
      <c r="D51" s="156"/>
      <c r="E51" s="157"/>
      <c r="F51" s="157"/>
      <c r="G51" s="158"/>
      <c r="H51" s="159" t="str">
        <f>IF(ISBLANK(A51),"",NETWORKDAYS(E51,F51)*G51)</f>
        <v/>
      </c>
      <c r="I51" s="160" t="str">
        <f>IF(ISBLANK(A51),"",H51*$B$9)</f>
        <v/>
      </c>
      <c r="J51" s="161">
        <v>0</v>
      </c>
      <c r="K51" s="79" t="str">
        <f>IF(ISBLANK(A51),"",I51*J51)</f>
        <v/>
      </c>
      <c r="L51" s="209">
        <v>0</v>
      </c>
      <c r="M51" s="217" t="str">
        <f>IF(ISBLANK(A51)," ",(L51*H51*$B$9))</f>
        <v xml:space="preserve"> </v>
      </c>
      <c r="N51" s="79" t="str">
        <f>IF(ISBLANK(A51),"",(J51*H51*8)-M51)</f>
        <v/>
      </c>
      <c r="O51" s="161">
        <v>0</v>
      </c>
      <c r="P51" s="203" t="str">
        <f>IF(ISBLANK(A51),"",H51*O51*$B$9)</f>
        <v/>
      </c>
      <c r="Q51" s="79" t="str">
        <f>IF(ISBLANK(A51),"",P51-M51)</f>
        <v/>
      </c>
      <c r="R51" s="151"/>
      <c r="S51" s="162"/>
      <c r="T51" s="364"/>
      <c r="U51" s="364" t="str">
        <f>IF(ISBLANK(A51),"",CONCATENATE(C51,"-",$B$5))</f>
        <v/>
      </c>
      <c r="Y51" s="233"/>
    </row>
    <row r="52" spans="1:148" hidden="1" outlineLevel="1" x14ac:dyDescent="0.2">
      <c r="A52" s="156"/>
      <c r="B52" s="156"/>
      <c r="C52" s="156"/>
      <c r="D52" s="156"/>
      <c r="E52" s="157"/>
      <c r="F52" s="157"/>
      <c r="G52" s="158"/>
      <c r="H52" s="159" t="str">
        <f>IF(ISBLANK(A52),"",NETWORKDAYS(E52,F52)*G52)</f>
        <v/>
      </c>
      <c r="I52" s="160" t="str">
        <f>IF(ISBLANK(A52),"",H52*$B$9)</f>
        <v/>
      </c>
      <c r="J52" s="161">
        <v>0</v>
      </c>
      <c r="K52" s="79" t="str">
        <f>IF(ISBLANK(A52),"",I52*J52)</f>
        <v/>
      </c>
      <c r="L52" s="209">
        <v>0</v>
      </c>
      <c r="M52" s="217" t="str">
        <f>IF(ISBLANK(A52)," ",(L52*H52*$B$9))</f>
        <v xml:space="preserve"> </v>
      </c>
      <c r="N52" s="79" t="str">
        <f>IF(ISBLANK(A52),"",K52-M52)</f>
        <v/>
      </c>
      <c r="O52" s="161">
        <v>0</v>
      </c>
      <c r="P52" s="203" t="str">
        <f>IF(ISBLANK(A52),"",H52*O52*$B$9)</f>
        <v/>
      </c>
      <c r="Q52" s="79" t="str">
        <f>IF(ISBLANK(A52),"",P52-M52)</f>
        <v/>
      </c>
      <c r="R52" s="151"/>
      <c r="S52" s="162"/>
      <c r="T52" s="364"/>
      <c r="U52" s="364" t="str">
        <f>IF(ISBLANK(A52),"",CONCATENATE(C52,"-",$B$5))</f>
        <v/>
      </c>
    </row>
    <row r="53" spans="1:148" hidden="1" outlineLevel="1" x14ac:dyDescent="0.2">
      <c r="A53" s="156"/>
      <c r="B53" s="156"/>
      <c r="C53" s="156"/>
      <c r="D53" s="156"/>
      <c r="E53" s="157"/>
      <c r="F53" s="157"/>
      <c r="G53" s="158"/>
      <c r="H53" s="159" t="str">
        <f>IF(ISBLANK(A53),"",NETWORKDAYS(E53,F53)*G53)</f>
        <v/>
      </c>
      <c r="I53" s="160" t="str">
        <f>IF(ISBLANK(A53),"",H53*$B$9)</f>
        <v/>
      </c>
      <c r="J53" s="161">
        <v>0</v>
      </c>
      <c r="K53" s="79" t="str">
        <f>IF(ISBLANK(A53),"",I53*J53)</f>
        <v/>
      </c>
      <c r="L53" s="209">
        <v>0</v>
      </c>
      <c r="M53" s="217" t="str">
        <f>IF(ISBLANK(A53)," ",(L53*H53*$B$9))</f>
        <v xml:space="preserve"> </v>
      </c>
      <c r="N53" s="79" t="str">
        <f>IF(ISBLANK(A53),"",K53-M53)</f>
        <v/>
      </c>
      <c r="O53" s="161">
        <v>0</v>
      </c>
      <c r="P53" s="203" t="str">
        <f>IF(ISBLANK(A53),"",H53*O53*$B$9)</f>
        <v/>
      </c>
      <c r="Q53" s="79" t="str">
        <f>IF(ISBLANK(A53),"",P53-M53)</f>
        <v/>
      </c>
      <c r="R53" s="151" t="str">
        <f>IF(ISBLANK(A53),"",Q53/P53)</f>
        <v/>
      </c>
      <c r="S53" s="162" t="str">
        <f>IF(ISBLANK(A53),"",1-P53/K53)</f>
        <v/>
      </c>
      <c r="T53" s="364"/>
      <c r="U53" s="364" t="str">
        <f>IF(ISBLANK(A53),"",CONCATENATE(C53,"-",$B$5))</f>
        <v/>
      </c>
    </row>
    <row r="54" spans="1:148" hidden="1" outlineLevel="1" x14ac:dyDescent="0.2">
      <c r="A54" s="156"/>
      <c r="B54" s="156"/>
      <c r="C54" s="156"/>
      <c r="D54" s="156"/>
      <c r="E54" s="157"/>
      <c r="F54" s="157"/>
      <c r="G54" s="158"/>
      <c r="H54" s="159" t="str">
        <f>IF(ISBLANK(A54),"",NETWORKDAYS(E54,F54)*G54)</f>
        <v/>
      </c>
      <c r="I54" s="160" t="str">
        <f>IF(ISBLANK(A54),"",H54*$B$9)</f>
        <v/>
      </c>
      <c r="J54" s="161">
        <v>0</v>
      </c>
      <c r="K54" s="79" t="str">
        <f>IF(ISBLANK(A54),"",I54*J54)</f>
        <v/>
      </c>
      <c r="L54" s="209">
        <v>0</v>
      </c>
      <c r="M54" s="217" t="str">
        <f>IF(ISBLANK(A54)," ",(L54*H54*$B$9))</f>
        <v xml:space="preserve"> </v>
      </c>
      <c r="N54" s="79" t="str">
        <f>IF(ISBLANK(A54),"",K54-M54)</f>
        <v/>
      </c>
      <c r="O54" s="161">
        <v>0</v>
      </c>
      <c r="P54" s="203" t="str">
        <f>IF(ISBLANK(A54),"",H54*O54*$B$9)</f>
        <v/>
      </c>
      <c r="Q54" s="79" t="str">
        <f>IF(ISBLANK(A54),"",P54-M54)</f>
        <v/>
      </c>
      <c r="R54" s="151" t="str">
        <f>IF(ISBLANK(A54),"",Q54/P54)</f>
        <v/>
      </c>
      <c r="S54" s="162" t="str">
        <f>IF(ISBLANK(A54),"",1-P54/K54)</f>
        <v/>
      </c>
      <c r="T54" s="364"/>
      <c r="U54" s="364" t="str">
        <f>IF(ISBLANK(A54),"",CONCATENATE(C54,"-",$B$5))</f>
        <v/>
      </c>
    </row>
    <row r="55" spans="1:148" ht="13.5" hidden="1" outlineLevel="1" thickBot="1" x14ac:dyDescent="0.25">
      <c r="A55" s="163"/>
      <c r="B55" s="163"/>
      <c r="C55" s="163"/>
      <c r="D55" s="163"/>
      <c r="E55" s="164"/>
      <c r="F55" s="164"/>
      <c r="G55" s="165"/>
      <c r="H55" s="166" t="str">
        <f>IF(ISBLANK(A55),"",NETWORKDAYS(E55,F55)*G55)</f>
        <v/>
      </c>
      <c r="I55" s="167" t="str">
        <f>IF(ISBLANK(A55),"",H55*$B$9)</f>
        <v/>
      </c>
      <c r="J55" s="168">
        <v>0</v>
      </c>
      <c r="K55" s="81" t="str">
        <f>IF(ISBLANK(A55),"",I55*J55)</f>
        <v/>
      </c>
      <c r="L55" s="210">
        <v>0</v>
      </c>
      <c r="M55" s="216" t="str">
        <f>IF(ISBLANK(A55)," ",(L55*H55*$B$9))</f>
        <v xml:space="preserve"> </v>
      </c>
      <c r="N55" s="81" t="str">
        <f>IF(ISBLANK(A55),"",K55-M55)</f>
        <v/>
      </c>
      <c r="O55" s="168">
        <v>0</v>
      </c>
      <c r="P55" s="204" t="str">
        <f>IF(ISBLANK(A55),"",H55*O55*$B$9)</f>
        <v/>
      </c>
      <c r="Q55" s="81" t="str">
        <f>IF(ISBLANK(A55),"",P55-M55)</f>
        <v/>
      </c>
      <c r="R55" s="154" t="str">
        <f>IF(ISBLANK(A55),"",Q55/P55)</f>
        <v/>
      </c>
      <c r="S55" s="169" t="str">
        <f>IF(ISBLANK(A55),"",1-P55/K55)</f>
        <v/>
      </c>
      <c r="T55" s="363"/>
      <c r="U55" s="364" t="str">
        <f>IF(ISBLANK(A55),"",CONCATENATE(C55,"-",$B$5))</f>
        <v/>
      </c>
    </row>
    <row r="56" spans="1:148" hidden="1" x14ac:dyDescent="0.2">
      <c r="A56" s="3" t="s">
        <v>140</v>
      </c>
      <c r="H56" s="17">
        <f>SUM(H51:H55)</f>
        <v>0</v>
      </c>
      <c r="I56" s="17">
        <f>SUM(I51:I55)</f>
        <v>0</v>
      </c>
      <c r="J56" s="33"/>
      <c r="K56" s="50"/>
      <c r="L56" s="205"/>
      <c r="M56" s="50"/>
      <c r="N56" s="50"/>
      <c r="P56" s="50"/>
      <c r="Q56" s="50"/>
      <c r="R56" s="15"/>
      <c r="S56" s="8"/>
    </row>
    <row r="57" spans="1:148" hidden="1" x14ac:dyDescent="0.2">
      <c r="A57" s="3"/>
      <c r="H57" s="17"/>
      <c r="I57" s="119"/>
      <c r="J57" s="33"/>
      <c r="K57" s="122"/>
      <c r="L57" s="205"/>
      <c r="M57" s="50"/>
      <c r="N57" s="50"/>
      <c r="P57" s="122"/>
      <c r="Q57" s="50"/>
      <c r="R57" s="15" t="str">
        <f>IF(H57=0,"",Q57/P57)</f>
        <v/>
      </c>
      <c r="S57" s="8" t="str">
        <f>IF(H57=0,"",1-P57/K57)</f>
        <v/>
      </c>
    </row>
    <row r="58" spans="1:148" s="11" customFormat="1" x14ac:dyDescent="0.2">
      <c r="A58" s="12" t="s">
        <v>16</v>
      </c>
      <c r="I58" s="120"/>
      <c r="J58" s="32"/>
      <c r="K58" s="37"/>
      <c r="L58" s="211"/>
      <c r="M58" s="211">
        <f>'Non-Reimbursable Expenses'!B6</f>
        <v>0</v>
      </c>
      <c r="N58" s="37"/>
      <c r="O58" s="32"/>
      <c r="P58" s="211">
        <f>IF($B$4="Fixed Price",M58,0)</f>
        <v>0</v>
      </c>
      <c r="Q58" s="37"/>
      <c r="R58" s="18"/>
      <c r="T58" s="365"/>
      <c r="U58" s="364"/>
      <c r="V58" s="367"/>
      <c r="W58" s="41"/>
      <c r="X58" s="41"/>
      <c r="Y58" s="41"/>
      <c r="Z58" s="41"/>
      <c r="AA58" s="41"/>
      <c r="AB58" s="41"/>
      <c r="AC58" s="41"/>
      <c r="AD58" s="41"/>
      <c r="AE58" s="41"/>
      <c r="AF58" s="41"/>
      <c r="AG58" s="41"/>
      <c r="AH58" s="41"/>
      <c r="AI58" s="41"/>
      <c r="AJ58" s="41"/>
      <c r="AK58" s="41"/>
      <c r="AL58" s="41"/>
      <c r="AM58" s="41"/>
      <c r="AN58" s="41"/>
      <c r="AO58" s="41"/>
      <c r="AP58" s="41"/>
      <c r="AQ58" s="41"/>
      <c r="AR58" s="41"/>
      <c r="AS58" s="41"/>
      <c r="AT58" s="41"/>
      <c r="AU58" s="41"/>
      <c r="AV58" s="41"/>
      <c r="AW58" s="41"/>
      <c r="AX58" s="41"/>
      <c r="AY58" s="41"/>
      <c r="AZ58" s="41"/>
      <c r="BA58" s="41"/>
      <c r="BB58" s="41"/>
      <c r="BC58" s="41"/>
      <c r="BD58" s="41"/>
      <c r="BE58" s="41"/>
      <c r="BF58" s="41"/>
      <c r="BG58" s="41"/>
      <c r="BH58" s="41"/>
      <c r="BI58" s="41"/>
      <c r="BJ58" s="41"/>
      <c r="BK58" s="41"/>
      <c r="BL58" s="41"/>
      <c r="BM58" s="41"/>
      <c r="BN58" s="41"/>
      <c r="BO58" s="41"/>
      <c r="BP58" s="41"/>
      <c r="BQ58" s="41"/>
      <c r="BR58" s="41"/>
      <c r="BS58" s="41"/>
      <c r="BT58" s="41"/>
      <c r="BU58" s="41"/>
      <c r="BV58" s="41"/>
      <c r="BW58" s="41"/>
      <c r="BX58" s="41"/>
      <c r="BY58" s="41"/>
      <c r="BZ58" s="41"/>
      <c r="CA58" s="41"/>
      <c r="CB58" s="41"/>
      <c r="CC58" s="41"/>
      <c r="CD58" s="41"/>
      <c r="CE58" s="41"/>
      <c r="CF58" s="41"/>
      <c r="CG58" s="41"/>
      <c r="CH58" s="41"/>
      <c r="CI58" s="41"/>
      <c r="CJ58" s="41"/>
      <c r="CK58" s="41"/>
      <c r="CL58" s="41"/>
      <c r="CM58" s="41"/>
      <c r="CN58" s="41"/>
      <c r="CO58" s="41"/>
      <c r="CP58" s="41"/>
      <c r="CQ58" s="41"/>
      <c r="CR58" s="41"/>
      <c r="CS58" s="41"/>
      <c r="CT58" s="41"/>
      <c r="CU58" s="41"/>
      <c r="CV58" s="41"/>
      <c r="CW58" s="41"/>
      <c r="CX58" s="41"/>
      <c r="CY58" s="41"/>
      <c r="CZ58" s="41"/>
      <c r="DA58" s="41"/>
      <c r="DB58" s="41"/>
      <c r="DC58" s="41"/>
      <c r="DD58" s="41"/>
      <c r="DE58" s="41"/>
      <c r="DF58" s="41"/>
      <c r="DG58" s="41"/>
      <c r="DH58" s="41"/>
      <c r="DI58" s="41"/>
      <c r="DJ58" s="41"/>
      <c r="DK58" s="41"/>
      <c r="DL58" s="41"/>
      <c r="DM58" s="41"/>
      <c r="DN58" s="41"/>
      <c r="DO58" s="41"/>
      <c r="DP58" s="41"/>
      <c r="DQ58" s="41"/>
      <c r="DR58" s="41"/>
      <c r="DS58" s="41"/>
      <c r="DT58" s="41"/>
      <c r="DU58" s="41"/>
      <c r="DV58" s="41"/>
      <c r="DW58" s="41"/>
      <c r="DX58" s="41"/>
      <c r="DY58" s="41"/>
      <c r="DZ58" s="41"/>
      <c r="EA58" s="41"/>
      <c r="EB58" s="41"/>
      <c r="EC58" s="41"/>
      <c r="ED58" s="41"/>
      <c r="EE58" s="41"/>
      <c r="EF58" s="41"/>
      <c r="EG58" s="41"/>
      <c r="EH58" s="41"/>
      <c r="EI58" s="41"/>
      <c r="EJ58" s="41"/>
      <c r="EK58" s="41"/>
      <c r="EL58" s="41"/>
      <c r="EM58" s="41"/>
      <c r="EN58" s="41"/>
      <c r="EO58" s="41"/>
      <c r="EP58" s="41"/>
      <c r="EQ58" s="41"/>
      <c r="ER58" s="41"/>
    </row>
    <row r="59" spans="1:148" ht="15.75" x14ac:dyDescent="0.25">
      <c r="A59" s="14" t="s">
        <v>17</v>
      </c>
      <c r="H59" s="9">
        <f>H48+H56</f>
        <v>900</v>
      </c>
      <c r="I59" s="9">
        <f>I48+I56</f>
        <v>7200</v>
      </c>
      <c r="J59" s="31"/>
      <c r="K59" s="36">
        <f>K48</f>
        <v>2412000</v>
      </c>
      <c r="L59" s="205"/>
      <c r="M59" s="205">
        <f>M48+M58</f>
        <v>988800</v>
      </c>
      <c r="N59" s="36">
        <f>N48</f>
        <v>1423200</v>
      </c>
      <c r="O59" s="33"/>
      <c r="P59" s="205">
        <f>P48+P58</f>
        <v>1032000</v>
      </c>
      <c r="Q59" s="36">
        <f>Q48</f>
        <v>43200</v>
      </c>
      <c r="R59" s="15">
        <f>IF(ISBLANK(A59),"",IF(P59&gt;0,Q59/P59,0))</f>
        <v>4.1860465116279069E-2</v>
      </c>
      <c r="S59" s="8">
        <f>IF(ISBLANK(A59),"",IF(K59&gt;0,1-P59/K59,1))</f>
        <v>0.57213930348258701</v>
      </c>
    </row>
    <row r="60" spans="1:148" ht="4.5" customHeight="1" thickBot="1" x14ac:dyDescent="0.25">
      <c r="J60" s="31"/>
      <c r="K60" s="36"/>
      <c r="L60" s="205"/>
      <c r="M60" s="205"/>
      <c r="N60" s="36"/>
      <c r="P60" s="205"/>
      <c r="Q60" s="36"/>
    </row>
    <row r="61" spans="1:148" ht="15.75" customHeight="1" thickBot="1" x14ac:dyDescent="0.3">
      <c r="A61" s="63" t="s">
        <v>60</v>
      </c>
      <c r="B61" s="64"/>
      <c r="C61" s="64"/>
      <c r="D61" s="64"/>
      <c r="E61" s="64"/>
      <c r="F61" s="64"/>
      <c r="G61" s="64"/>
      <c r="H61" s="65"/>
      <c r="I61" s="121"/>
      <c r="J61" s="66"/>
      <c r="K61" s="67"/>
      <c r="L61" s="212"/>
      <c r="M61" s="212"/>
      <c r="N61" s="67"/>
      <c r="O61" s="66"/>
      <c r="P61" s="218">
        <f>P59</f>
        <v>1032000</v>
      </c>
      <c r="Q61" s="43">
        <f>P61-M59</f>
        <v>43200</v>
      </c>
      <c r="R61" s="44">
        <f>IF(ISBLANK(A61),"",IF(P61&gt;0,Q61/P61,0))</f>
        <v>4.1860465116279069E-2</v>
      </c>
      <c r="S61" s="45">
        <f>IF(ISBLANK(A61),"",IF(K59&gt;0,1-P61/K59,1))</f>
        <v>0.57213930348258701</v>
      </c>
    </row>
    <row r="62" spans="1:148" ht="6" customHeight="1" x14ac:dyDescent="0.2">
      <c r="J62" s="31"/>
      <c r="K62" s="36"/>
      <c r="L62" s="205"/>
      <c r="M62" s="205"/>
      <c r="N62" s="36"/>
      <c r="P62" s="205"/>
      <c r="Q62" s="36"/>
    </row>
    <row r="63" spans="1:148" outlineLevel="1" x14ac:dyDescent="0.2">
      <c r="A63" s="2" t="str">
        <f>IF($B$8="Estimate","Low Estimate","")</f>
        <v/>
      </c>
      <c r="H63" s="9">
        <f>H59*(1-$G$8)</f>
        <v>855</v>
      </c>
      <c r="I63" s="9">
        <f>I59*(1-$G$8)</f>
        <v>6840</v>
      </c>
      <c r="J63" s="31"/>
      <c r="K63" s="36">
        <f>K59*(1-$G$8)</f>
        <v>2291400</v>
      </c>
      <c r="L63" s="205"/>
      <c r="M63" s="205">
        <f>M59*(1-$G$8)</f>
        <v>939360</v>
      </c>
      <c r="N63" s="36">
        <f>N59*(1-$G$8)</f>
        <v>1352040</v>
      </c>
      <c r="O63" s="49"/>
      <c r="P63" s="205">
        <f>P59*(1-$G$8)</f>
        <v>980400</v>
      </c>
      <c r="Q63" s="36">
        <f>Q59*(1-$G$8)</f>
        <v>41040</v>
      </c>
      <c r="R63" s="15">
        <f>IF(ISBLANK(A63),"",IF(P63&gt;0,Q63/P63,0))</f>
        <v>4.1860465116279069E-2</v>
      </c>
      <c r="S63" s="8"/>
    </row>
    <row r="64" spans="1:148" outlineLevel="1" x14ac:dyDescent="0.2">
      <c r="A64" s="2" t="str">
        <f>IF($B$8="Estimate","High Estimate","")</f>
        <v/>
      </c>
      <c r="H64" s="9">
        <f>H59*(1+$G$9)</f>
        <v>1080</v>
      </c>
      <c r="I64" s="9">
        <f>I59*(1+$G$9)</f>
        <v>8640</v>
      </c>
      <c r="J64" s="31"/>
      <c r="K64" s="36">
        <f>K59*(1+$G$9)</f>
        <v>2894400</v>
      </c>
      <c r="L64" s="205"/>
      <c r="M64" s="205">
        <f>M59*(1+$G$9)</f>
        <v>1186560</v>
      </c>
      <c r="N64" s="36">
        <f>N59*(1+$G$9)</f>
        <v>1707840</v>
      </c>
      <c r="O64" s="49"/>
      <c r="P64" s="205">
        <f>P59*(1+$G$9)</f>
        <v>1238400</v>
      </c>
      <c r="Q64" s="36">
        <f>Q59*(1+$G$9)</f>
        <v>51840</v>
      </c>
      <c r="R64" s="15">
        <f>IF(ISBLANK(A64),"",IF(P64&gt;0,Q64/P64,0))</f>
        <v>4.1860465116279069E-2</v>
      </c>
      <c r="S64" s="8"/>
    </row>
    <row r="65" spans="8:22" x14ac:dyDescent="0.2">
      <c r="J65" s="31"/>
    </row>
    <row r="67" spans="8:22" x14ac:dyDescent="0.2">
      <c r="H67" s="376">
        <f>IF(Summary!$B$15="PROJECT",IF($B$4="Fixed Price",$H$97*(H32+H43),$I$97*(H32+H43)),IF($B$4="Fixed Price",$H$100*(H32+H43),$I$100*(H32+H43)))</f>
        <v>0</v>
      </c>
    </row>
    <row r="68" spans="8:22" x14ac:dyDescent="0.2">
      <c r="H68" s="420"/>
      <c r="I68" s="219"/>
      <c r="J68" s="126"/>
      <c r="K68" s="126"/>
      <c r="L68" s="377"/>
      <c r="M68" s="377"/>
      <c r="N68" s="126"/>
      <c r="O68" s="33"/>
      <c r="P68" s="377"/>
      <c r="Q68" s="126"/>
      <c r="R68" s="126"/>
      <c r="S68" s="126"/>
      <c r="T68" s="378"/>
      <c r="U68" s="379"/>
      <c r="V68" s="380"/>
    </row>
    <row r="69" spans="8:22" x14ac:dyDescent="0.2">
      <c r="H69" s="420"/>
      <c r="I69" s="219"/>
      <c r="J69" s="126"/>
      <c r="K69" s="126"/>
      <c r="L69" s="377"/>
      <c r="M69" s="377"/>
      <c r="N69" s="126"/>
      <c r="O69" s="33"/>
      <c r="P69" s="377"/>
      <c r="Q69" s="126"/>
      <c r="R69" s="126"/>
      <c r="S69" s="126"/>
      <c r="T69" s="378"/>
      <c r="U69" s="379"/>
      <c r="V69" s="380"/>
    </row>
    <row r="70" spans="8:22" x14ac:dyDescent="0.2">
      <c r="H70" s="420"/>
      <c r="I70" s="219"/>
      <c r="J70" s="126"/>
      <c r="K70" s="126"/>
      <c r="L70" s="377"/>
      <c r="M70" s="377"/>
      <c r="N70" s="126"/>
      <c r="O70" s="33"/>
      <c r="P70" s="377"/>
      <c r="Q70" s="126"/>
      <c r="R70" s="126"/>
      <c r="S70" s="126"/>
      <c r="T70" s="378"/>
      <c r="U70" s="379"/>
      <c r="V70" s="380"/>
    </row>
    <row r="71" spans="8:22" x14ac:dyDescent="0.2">
      <c r="H71" s="443"/>
      <c r="I71" s="219"/>
      <c r="J71" s="126"/>
      <c r="K71" s="126"/>
      <c r="L71" s="377"/>
      <c r="M71" s="377"/>
      <c r="N71" s="126"/>
      <c r="O71" s="33"/>
      <c r="P71" s="377"/>
      <c r="Q71" s="126"/>
      <c r="R71" s="126"/>
      <c r="S71" s="126"/>
      <c r="T71" s="378"/>
      <c r="U71" s="379"/>
      <c r="V71" s="380"/>
    </row>
    <row r="72" spans="8:22" x14ac:dyDescent="0.2">
      <c r="H72" s="420"/>
      <c r="I72" s="219"/>
      <c r="J72" s="126"/>
      <c r="K72" s="126"/>
      <c r="L72" s="377"/>
      <c r="M72" s="377"/>
      <c r="N72" s="126"/>
      <c r="O72" s="33"/>
      <c r="P72" s="377"/>
      <c r="Q72" s="126"/>
      <c r="R72" s="126"/>
      <c r="S72" s="126"/>
      <c r="T72" s="378"/>
      <c r="U72" s="379"/>
      <c r="V72" s="380"/>
    </row>
    <row r="73" spans="8:22" x14ac:dyDescent="0.2">
      <c r="H73" s="420"/>
      <c r="I73" s="219"/>
      <c r="J73" s="126"/>
      <c r="K73" s="126"/>
      <c r="L73" s="377"/>
      <c r="M73" s="377"/>
      <c r="N73" s="126"/>
      <c r="O73" s="33"/>
      <c r="P73" s="377"/>
      <c r="Q73" s="126"/>
      <c r="R73" s="126"/>
      <c r="S73" s="126"/>
      <c r="T73" s="378"/>
      <c r="U73" s="379"/>
      <c r="V73" s="380"/>
    </row>
    <row r="74" spans="8:22" x14ac:dyDescent="0.2">
      <c r="H74" s="444"/>
      <c r="I74" s="219"/>
      <c r="J74" s="126"/>
      <c r="K74" s="126"/>
      <c r="L74" s="377"/>
      <c r="M74" s="377"/>
      <c r="N74" s="126"/>
      <c r="O74" s="33"/>
      <c r="P74" s="377"/>
      <c r="Q74" s="126"/>
      <c r="R74" s="126"/>
      <c r="S74" s="126"/>
      <c r="T74" s="378"/>
      <c r="U74" s="379"/>
      <c r="V74" s="380"/>
    </row>
    <row r="75" spans="8:22" x14ac:dyDescent="0.2">
      <c r="H75" s="442"/>
      <c r="I75" s="219"/>
      <c r="J75" s="126"/>
      <c r="K75" s="126"/>
      <c r="L75" s="377"/>
      <c r="M75" s="377"/>
      <c r="N75" s="126"/>
      <c r="O75" s="33"/>
      <c r="P75" s="377"/>
      <c r="Q75" s="126"/>
      <c r="R75" s="126"/>
      <c r="S75" s="126"/>
      <c r="T75" s="378"/>
      <c r="U75" s="379"/>
      <c r="V75" s="380"/>
    </row>
    <row r="76" spans="8:22" x14ac:dyDescent="0.2">
      <c r="H76" s="126"/>
      <c r="I76" s="219"/>
      <c r="J76" s="126"/>
      <c r="K76" s="126"/>
      <c r="L76" s="377"/>
      <c r="M76" s="377"/>
      <c r="N76" s="126"/>
      <c r="O76" s="33"/>
      <c r="P76" s="377"/>
      <c r="Q76" s="126"/>
      <c r="R76" s="126"/>
      <c r="S76" s="126"/>
      <c r="T76" s="378"/>
      <c r="U76" s="379"/>
      <c r="V76" s="380"/>
    </row>
    <row r="77" spans="8:22" x14ac:dyDescent="0.2">
      <c r="H77" s="444"/>
      <c r="I77" s="219"/>
      <c r="J77" s="126"/>
      <c r="K77" s="126"/>
      <c r="L77" s="377"/>
      <c r="M77" s="377"/>
      <c r="N77" s="126"/>
      <c r="O77" s="33"/>
      <c r="P77" s="377"/>
      <c r="Q77" s="126"/>
      <c r="R77" s="126"/>
      <c r="S77" s="126"/>
      <c r="T77" s="378"/>
      <c r="U77" s="379"/>
      <c r="V77" s="380"/>
    </row>
    <row r="78" spans="8:22" x14ac:dyDescent="0.2">
      <c r="H78" s="420"/>
      <c r="I78" s="219"/>
      <c r="J78" s="126"/>
      <c r="K78" s="126"/>
      <c r="L78" s="377"/>
      <c r="M78" s="377"/>
      <c r="N78" s="126"/>
      <c r="O78" s="33"/>
      <c r="P78" s="377"/>
      <c r="Q78" s="126"/>
      <c r="R78" s="126"/>
      <c r="S78" s="126"/>
      <c r="T78" s="378"/>
      <c r="U78" s="379"/>
      <c r="V78" s="380"/>
    </row>
    <row r="79" spans="8:22" x14ac:dyDescent="0.2">
      <c r="H79" s="443"/>
      <c r="I79" s="219"/>
      <c r="J79" s="126"/>
      <c r="K79" s="126"/>
      <c r="L79" s="377"/>
      <c r="M79" s="377"/>
      <c r="N79" s="126"/>
      <c r="O79" s="33"/>
      <c r="P79" s="377"/>
      <c r="Q79" s="126"/>
      <c r="R79" s="126"/>
      <c r="S79" s="126"/>
      <c r="T79" s="378"/>
      <c r="U79" s="379"/>
      <c r="V79" s="380"/>
    </row>
    <row r="80" spans="8:22" x14ac:dyDescent="0.2">
      <c r="H80" s="443"/>
      <c r="I80" s="219"/>
      <c r="J80" s="126"/>
      <c r="K80" s="126"/>
      <c r="L80" s="377"/>
      <c r="M80" s="377"/>
      <c r="N80" s="126"/>
      <c r="O80" s="33"/>
      <c r="P80" s="377"/>
      <c r="Q80" s="126"/>
      <c r="R80" s="126"/>
      <c r="S80" s="126"/>
      <c r="T80" s="378"/>
      <c r="U80" s="379"/>
      <c r="V80" s="380"/>
    </row>
    <row r="81" spans="7:22" x14ac:dyDescent="0.2">
      <c r="H81" s="126"/>
      <c r="I81" s="219"/>
      <c r="J81" s="126"/>
      <c r="K81" s="126"/>
      <c r="L81" s="377"/>
      <c r="M81" s="377"/>
      <c r="N81" s="126"/>
      <c r="O81" s="33"/>
      <c r="P81" s="377"/>
      <c r="Q81" s="126"/>
      <c r="R81" s="126"/>
      <c r="S81" s="126"/>
      <c r="T81" s="378"/>
      <c r="U81" s="379"/>
      <c r="V81" s="380"/>
    </row>
    <row r="82" spans="7:22" x14ac:dyDescent="0.2">
      <c r="G82" s="2" t="s">
        <v>253</v>
      </c>
      <c r="H82" s="420"/>
      <c r="I82" s="219"/>
      <c r="J82" s="126"/>
      <c r="K82" s="126"/>
      <c r="L82" s="377"/>
      <c r="M82" s="377"/>
      <c r="N82" s="126"/>
      <c r="O82" s="33"/>
      <c r="P82" s="377"/>
      <c r="Q82" s="126"/>
      <c r="R82" s="126"/>
      <c r="S82" s="126"/>
      <c r="T82" s="378"/>
      <c r="U82" s="379"/>
      <c r="V82" s="380"/>
    </row>
    <row r="83" spans="7:22" x14ac:dyDescent="0.2">
      <c r="G83" s="2" t="s">
        <v>254</v>
      </c>
      <c r="H83" s="420"/>
      <c r="I83" s="219"/>
      <c r="J83" s="126"/>
      <c r="K83" s="126"/>
      <c r="L83" s="377"/>
      <c r="M83" s="377"/>
      <c r="N83" s="126"/>
      <c r="O83" s="33"/>
      <c r="P83" s="377"/>
      <c r="Q83" s="126"/>
      <c r="R83" s="126"/>
      <c r="S83" s="126"/>
      <c r="T83" s="378"/>
      <c r="U83" s="379"/>
      <c r="V83" s="380"/>
    </row>
    <row r="84" spans="7:22" x14ac:dyDescent="0.2">
      <c r="G84" s="2" t="s">
        <v>255</v>
      </c>
      <c r="H84" s="420"/>
      <c r="I84" s="219"/>
      <c r="J84" s="126"/>
      <c r="K84" s="126"/>
      <c r="L84" s="377"/>
      <c r="M84" s="377"/>
      <c r="N84" s="126"/>
      <c r="O84" s="33"/>
      <c r="P84" s="377"/>
      <c r="Q84" s="126"/>
      <c r="R84" s="126"/>
      <c r="S84" s="126"/>
      <c r="T84" s="378"/>
      <c r="U84" s="379"/>
      <c r="V84" s="380"/>
    </row>
    <row r="85" spans="7:22" x14ac:dyDescent="0.2">
      <c r="H85" s="126"/>
      <c r="I85" s="219"/>
      <c r="J85" s="126"/>
      <c r="K85" s="126"/>
      <c r="L85" s="377"/>
      <c r="M85" s="377"/>
      <c r="N85" s="126"/>
      <c r="O85" s="33"/>
      <c r="P85" s="377"/>
      <c r="Q85" s="126"/>
      <c r="R85" s="126"/>
      <c r="S85" s="126"/>
      <c r="T85" s="378"/>
      <c r="U85" s="379"/>
      <c r="V85" s="380"/>
    </row>
    <row r="86" spans="7:22" x14ac:dyDescent="0.2">
      <c r="H86" s="126"/>
      <c r="I86" s="219"/>
      <c r="J86" s="126"/>
      <c r="K86" s="126"/>
      <c r="L86" s="377"/>
      <c r="M86" s="377"/>
      <c r="N86" s="126"/>
      <c r="O86" s="33"/>
      <c r="P86" s="377"/>
      <c r="Q86" s="126"/>
      <c r="R86" s="126"/>
      <c r="S86" s="126"/>
      <c r="T86" s="378"/>
      <c r="U86" s="379"/>
      <c r="V86" s="380"/>
    </row>
    <row r="87" spans="7:22" x14ac:dyDescent="0.2">
      <c r="H87" s="126"/>
      <c r="I87" s="219"/>
      <c r="J87" s="126"/>
      <c r="K87" s="126"/>
      <c r="L87" s="377"/>
      <c r="M87" s="377"/>
      <c r="N87" s="126"/>
      <c r="O87" s="33"/>
      <c r="P87" s="377"/>
      <c r="Q87" s="126"/>
      <c r="R87" s="126"/>
      <c r="S87" s="126"/>
      <c r="T87" s="378"/>
      <c r="U87" s="379"/>
      <c r="V87" s="380"/>
    </row>
    <row r="88" spans="7:22" x14ac:dyDescent="0.2">
      <c r="H88" s="126"/>
      <c r="I88" s="219"/>
      <c r="J88" s="126"/>
      <c r="K88" s="126"/>
      <c r="L88" s="377"/>
      <c r="M88" s="377"/>
      <c r="N88" s="126"/>
      <c r="O88" s="33"/>
      <c r="P88" s="377"/>
      <c r="Q88" s="126"/>
      <c r="R88" s="126"/>
      <c r="S88" s="126"/>
      <c r="T88" s="378"/>
      <c r="U88" s="379"/>
      <c r="V88" s="380"/>
    </row>
    <row r="89" spans="7:22" x14ac:dyDescent="0.2">
      <c r="H89" s="420"/>
      <c r="I89" s="219"/>
      <c r="J89" s="126"/>
      <c r="K89" s="126"/>
      <c r="L89" s="377"/>
      <c r="M89" s="377"/>
      <c r="N89" s="126"/>
      <c r="O89" s="33"/>
      <c r="P89" s="377"/>
      <c r="Q89" s="126"/>
      <c r="R89" s="126"/>
      <c r="S89" s="126"/>
      <c r="T89" s="378"/>
      <c r="U89" s="379"/>
      <c r="V89" s="380"/>
    </row>
    <row r="90" spans="7:22" x14ac:dyDescent="0.2">
      <c r="H90" s="420"/>
      <c r="I90" s="219"/>
      <c r="J90" s="126"/>
      <c r="K90" s="126"/>
      <c r="L90" s="377"/>
      <c r="M90" s="377"/>
      <c r="N90" s="126"/>
      <c r="O90" s="33"/>
      <c r="P90" s="377"/>
      <c r="Q90" s="126"/>
      <c r="R90" s="126"/>
      <c r="S90" s="126"/>
      <c r="T90" s="378"/>
      <c r="U90" s="379"/>
      <c r="V90" s="380"/>
    </row>
    <row r="91" spans="7:22" x14ac:dyDescent="0.2">
      <c r="H91" s="420"/>
      <c r="I91" s="219"/>
      <c r="J91" s="126"/>
      <c r="K91" s="126"/>
      <c r="L91" s="377"/>
      <c r="M91" s="377"/>
      <c r="N91" s="126"/>
      <c r="O91" s="33"/>
      <c r="P91" s="377"/>
      <c r="Q91" s="126"/>
      <c r="R91" s="126"/>
      <c r="S91" s="126"/>
      <c r="T91" s="378"/>
      <c r="U91" s="379"/>
      <c r="V91" s="380"/>
    </row>
    <row r="92" spans="7:22" x14ac:dyDescent="0.2">
      <c r="H92" s="420"/>
      <c r="I92" s="219"/>
      <c r="J92" s="126"/>
      <c r="K92" s="126"/>
      <c r="L92" s="377"/>
      <c r="M92" s="377"/>
      <c r="N92" s="126"/>
      <c r="O92" s="33"/>
      <c r="P92" s="377"/>
      <c r="Q92" s="126"/>
      <c r="R92" s="126"/>
      <c r="S92" s="126"/>
      <c r="T92" s="378"/>
      <c r="U92" s="379"/>
      <c r="V92" s="380"/>
    </row>
    <row r="93" spans="7:22" x14ac:dyDescent="0.2">
      <c r="H93" s="126"/>
      <c r="I93" s="219"/>
      <c r="J93" s="126"/>
      <c r="K93" s="126"/>
      <c r="L93" s="377"/>
      <c r="M93" s="377"/>
      <c r="N93" s="126"/>
      <c r="O93" s="33"/>
      <c r="P93" s="377"/>
      <c r="Q93" s="126"/>
      <c r="R93" s="126"/>
      <c r="S93" s="126"/>
      <c r="T93" s="378"/>
      <c r="U93" s="379"/>
      <c r="V93" s="380"/>
    </row>
    <row r="94" spans="7:22" x14ac:dyDescent="0.2">
      <c r="H94" s="126"/>
      <c r="I94" s="219"/>
      <c r="J94" s="126"/>
      <c r="K94" s="126"/>
      <c r="L94" s="377"/>
      <c r="M94" s="377"/>
      <c r="N94" s="126"/>
      <c r="O94" s="33"/>
      <c r="P94" s="377"/>
      <c r="Q94" s="126"/>
      <c r="R94" s="126"/>
      <c r="S94" s="126"/>
      <c r="T94" s="378"/>
      <c r="U94" s="379"/>
      <c r="V94" s="380"/>
    </row>
    <row r="95" spans="7:22" x14ac:dyDescent="0.2">
      <c r="H95" s="445"/>
      <c r="I95" s="219"/>
      <c r="J95" s="126"/>
      <c r="K95" s="126"/>
      <c r="L95" s="377"/>
      <c r="M95" s="377"/>
      <c r="N95" s="126"/>
      <c r="O95" s="33"/>
      <c r="P95" s="377"/>
      <c r="Q95" s="126"/>
      <c r="R95" s="126"/>
      <c r="S95" s="126"/>
      <c r="T95" s="378"/>
      <c r="U95" s="379"/>
      <c r="V95" s="380"/>
    </row>
    <row r="96" spans="7:22" x14ac:dyDescent="0.2">
      <c r="H96" s="219"/>
      <c r="I96" s="219"/>
      <c r="J96" s="126"/>
      <c r="K96" s="126"/>
      <c r="L96" s="377"/>
      <c r="M96" s="377"/>
      <c r="N96" s="126"/>
      <c r="O96" s="33"/>
      <c r="P96" s="377"/>
      <c r="Q96" s="126"/>
      <c r="R96" s="126"/>
      <c r="S96" s="126"/>
      <c r="T96" s="378"/>
      <c r="U96" s="379"/>
      <c r="V96" s="380"/>
    </row>
    <row r="97" spans="8:22" x14ac:dyDescent="0.2">
      <c r="H97" s="126"/>
      <c r="I97" s="219"/>
      <c r="J97" s="126"/>
      <c r="K97" s="126"/>
      <c r="L97" s="377"/>
      <c r="M97" s="377"/>
      <c r="N97" s="126"/>
      <c r="O97" s="33"/>
      <c r="P97" s="377"/>
      <c r="Q97" s="126"/>
      <c r="R97" s="126"/>
      <c r="S97" s="126"/>
      <c r="T97" s="378"/>
      <c r="U97" s="379"/>
      <c r="V97" s="380"/>
    </row>
    <row r="98" spans="8:22" x14ac:dyDescent="0.2">
      <c r="H98" s="445"/>
      <c r="I98" s="219"/>
      <c r="J98" s="126"/>
      <c r="K98" s="126"/>
      <c r="L98" s="377"/>
      <c r="M98" s="377"/>
      <c r="N98" s="126"/>
      <c r="O98" s="33"/>
      <c r="P98" s="377"/>
      <c r="Q98" s="126"/>
      <c r="R98" s="126"/>
      <c r="S98" s="126"/>
      <c r="T98" s="378"/>
      <c r="U98" s="379"/>
      <c r="V98" s="380"/>
    </row>
    <row r="99" spans="8:22" x14ac:dyDescent="0.2">
      <c r="H99" s="219"/>
      <c r="I99" s="219"/>
      <c r="J99" s="126"/>
      <c r="K99" s="126"/>
      <c r="L99" s="377"/>
      <c r="M99" s="377"/>
      <c r="N99" s="126"/>
      <c r="O99" s="33"/>
      <c r="P99" s="377"/>
      <c r="Q99" s="126"/>
      <c r="R99" s="126"/>
      <c r="S99" s="126"/>
      <c r="T99" s="378"/>
      <c r="U99" s="379"/>
      <c r="V99" s="380"/>
    </row>
    <row r="100" spans="8:22" x14ac:dyDescent="0.2">
      <c r="H100" s="126"/>
      <c r="I100" s="219"/>
      <c r="J100" s="126"/>
      <c r="K100" s="126"/>
      <c r="L100" s="377"/>
      <c r="M100" s="377"/>
      <c r="N100" s="126"/>
      <c r="O100" s="33"/>
      <c r="P100" s="377"/>
      <c r="Q100" s="126"/>
      <c r="R100" s="126"/>
      <c r="S100" s="126"/>
      <c r="T100" s="378"/>
      <c r="U100" s="379"/>
      <c r="V100" s="380"/>
    </row>
    <row r="101" spans="8:22" x14ac:dyDescent="0.2">
      <c r="H101" s="445"/>
      <c r="I101" s="219"/>
      <c r="J101" s="126"/>
      <c r="K101" s="126"/>
      <c r="L101" s="377"/>
      <c r="M101" s="377"/>
      <c r="N101" s="126"/>
      <c r="O101" s="33"/>
      <c r="P101" s="377"/>
      <c r="Q101" s="126"/>
      <c r="R101" s="126"/>
      <c r="S101" s="126"/>
      <c r="T101" s="378"/>
      <c r="U101" s="379"/>
      <c r="V101" s="380"/>
    </row>
    <row r="102" spans="8:22" x14ac:dyDescent="0.2">
      <c r="H102" s="219"/>
      <c r="I102" s="219"/>
      <c r="J102" s="126"/>
      <c r="K102" s="126"/>
      <c r="L102" s="377"/>
      <c r="M102" s="377"/>
      <c r="N102" s="126"/>
      <c r="O102" s="33"/>
      <c r="P102" s="377"/>
      <c r="Q102" s="126"/>
      <c r="R102" s="126"/>
      <c r="S102" s="126"/>
      <c r="T102" s="378"/>
      <c r="U102" s="379"/>
      <c r="V102" s="380"/>
    </row>
    <row r="103" spans="8:22" x14ac:dyDescent="0.2">
      <c r="H103" s="126"/>
      <c r="I103" s="219"/>
      <c r="J103" s="126"/>
      <c r="K103" s="126"/>
      <c r="L103" s="377"/>
      <c r="M103" s="377"/>
      <c r="N103" s="126"/>
      <c r="O103" s="33"/>
      <c r="P103" s="377"/>
      <c r="Q103" s="126"/>
      <c r="R103" s="126"/>
      <c r="S103" s="126"/>
      <c r="T103" s="378"/>
      <c r="U103" s="379"/>
      <c r="V103" s="380"/>
    </row>
    <row r="104" spans="8:22" x14ac:dyDescent="0.2">
      <c r="H104" s="126"/>
      <c r="I104" s="219"/>
      <c r="J104" s="126"/>
      <c r="K104" s="126"/>
      <c r="L104" s="377"/>
      <c r="M104" s="377"/>
      <c r="N104" s="126"/>
      <c r="O104" s="33"/>
      <c r="P104" s="377"/>
      <c r="Q104" s="126"/>
      <c r="R104" s="126"/>
      <c r="S104" s="126"/>
      <c r="T104" s="378"/>
      <c r="U104" s="379"/>
      <c r="V104" s="380"/>
    </row>
  </sheetData>
  <sheetProtection sheet="1" sort="0" autoFilter="0" pivotTables="0"/>
  <mergeCells count="1">
    <mergeCell ref="A32:B32"/>
  </mergeCells>
  <dataValidations count="13">
    <dataValidation type="decimal" allowBlank="1" showInputMessage="1" showErrorMessage="1" sqref="G14:G31 G51" xr:uid="{00000000-0002-0000-0500-000000000000}">
      <formula1>0</formula1>
      <formula2>1</formula2>
    </dataValidation>
    <dataValidation type="list" allowBlank="1" showInputMessage="1" showErrorMessage="1" sqref="C14:C31" xr:uid="{00000000-0002-0000-0500-000001000000}">
      <formula1>"APAC, EU, NA, SELECT ONE, ERROR"</formula1>
    </dataValidation>
    <dataValidation type="list" allowBlank="1" showInputMessage="1" showErrorMessage="1" sqref="B8" xr:uid="{00000000-0002-0000-0500-000002000000}">
      <formula1>"Quote, Estimate, Select One"</formula1>
    </dataValidation>
    <dataValidation type="list" allowBlank="1" showInputMessage="1" showErrorMessage="1" sqref="B4" xr:uid="{00000000-0002-0000-0500-000003000000}">
      <formula1>"T&amp;M, Fixed Price, SELECT ONE"</formula1>
    </dataValidation>
    <dataValidation type="list" showInputMessage="1" showErrorMessage="1" sqref="B10" xr:uid="{00000000-0002-0000-0500-000004000000}">
      <formula1>"SELECT ONE, APAC, EU, NA"</formula1>
    </dataValidation>
    <dataValidation type="date" operator="greaterThanOrEqual" allowBlank="1" showInputMessage="1" showErrorMessage="1" sqref="E51:E52 E53:F55 E37:F42 E36 E14:E31" xr:uid="{00000000-0002-0000-0500-000005000000}">
      <formula1>38353</formula1>
    </dataValidation>
    <dataValidation type="whole" showInputMessage="1" showErrorMessage="1" sqref="B9:D9" xr:uid="{00000000-0002-0000-0500-000006000000}">
      <formula1>8</formula1>
      <formula2>9</formula2>
    </dataValidation>
    <dataValidation type="decimal" allowBlank="1" showInputMessage="1" showErrorMessage="1" sqref="G36:G42" xr:uid="{00000000-0002-0000-0500-000007000000}">
      <formula1>0</formula1>
      <formula2>5</formula2>
    </dataValidation>
    <dataValidation type="date" operator="greaterThan" allowBlank="1" showInputMessage="1" showErrorMessage="1" sqref="F51:F52 F36 F14:F31" xr:uid="{00000000-0002-0000-0500-000008000000}">
      <formula1>38353</formula1>
    </dataValidation>
    <dataValidation type="list" showInputMessage="1" showErrorMessage="1" sqref="C4:D4" xr:uid="{00000000-0002-0000-0500-000009000000}">
      <formula1>"T&amp;M, Fixed Price, SELECT ONE"</formula1>
    </dataValidation>
    <dataValidation type="list" showInputMessage="1" showErrorMessage="1" sqref="C8:D8" xr:uid="{00000000-0002-0000-0500-00000A000000}">
      <formula1>"Quote, Estimate, SELECT ONE"</formula1>
    </dataValidation>
    <dataValidation type="whole" allowBlank="1" showInputMessage="1" showErrorMessage="1" sqref="D14:D31" xr:uid="{00000000-0002-0000-0500-00000B000000}">
      <formula1>0</formula1>
      <formula2>10</formula2>
    </dataValidation>
    <dataValidation type="list" allowBlank="1" showInputMessage="1" showErrorMessage="1" sqref="A36:A42" xr:uid="{00000000-0002-0000-0500-00000C000000}">
      <formula1>"SUB,SUB-EL,SUB-PSA,SUB-LSA,SUB-SSA,SUB-SA,SUB-ASA,SUB-PDA,SUB-LDA,SUB-SDA,SUB-PBA,SUB-LBA,SUB-SBA,SUB-BA"</formula1>
    </dataValidation>
  </dataValidations>
  <pageMargins left="0.75" right="0.75" top="1" bottom="1" header="0.5" footer="0.5"/>
  <pageSetup scale="57" fitToHeight="5" orientation="landscape" r:id="rId1"/>
  <headerFooter alignWithMargins="0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500-00000D000000}">
          <x14:formula1>
            <xm:f>gsrates!$A$64:$A$101</xm:f>
          </x14:formula1>
          <xm:sqref>A14:A31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21">
    <tabColor rgb="FFFFFF00"/>
    <pageSetUpPr fitToPage="1"/>
  </sheetPr>
  <dimension ref="A1:EQ81"/>
  <sheetViews>
    <sheetView workbookViewId="0">
      <pane xSplit="2" ySplit="13" topLeftCell="D14" activePane="bottomRight" state="frozen"/>
      <selection activeCell="A5" sqref="A5:B10"/>
      <selection pane="topRight" activeCell="A5" sqref="A5:B10"/>
      <selection pane="bottomLeft" activeCell="A5" sqref="A5:B10"/>
      <selection pane="bottomRight" activeCell="A47" sqref="A47"/>
    </sheetView>
  </sheetViews>
  <sheetFormatPr defaultColWidth="9.33203125" defaultRowHeight="12.75" outlineLevelRow="1" x14ac:dyDescent="0.2"/>
  <cols>
    <col min="1" max="1" width="30.33203125" style="2" customWidth="1"/>
    <col min="2" max="2" width="15.1640625" style="2" bestFit="1" customWidth="1"/>
    <col min="3" max="3" width="15.1640625" style="2" hidden="1" customWidth="1"/>
    <col min="4" max="4" width="10.5" style="2" customWidth="1"/>
    <col min="5" max="5" width="10.83203125" style="2" customWidth="1"/>
    <col min="6" max="6" width="13" style="2" bestFit="1" customWidth="1"/>
    <col min="7" max="7" width="11" style="2" bestFit="1" customWidth="1"/>
    <col min="8" max="8" width="11" style="115" customWidth="1"/>
    <col min="9" max="9" width="12.83203125" style="2" customWidth="1"/>
    <col min="10" max="10" width="15" style="2" bestFit="1" customWidth="1"/>
    <col min="11" max="11" width="12.33203125" style="199" customWidth="1"/>
    <col min="12" max="12" width="11.5" style="199" customWidth="1"/>
    <col min="13" max="13" width="11.5" style="2" customWidth="1"/>
    <col min="14" max="14" width="10.83203125" style="31" customWidth="1"/>
    <col min="15" max="15" width="14.1640625" style="199" customWidth="1"/>
    <col min="16" max="16" width="11.5" style="2" customWidth="1"/>
    <col min="17" max="17" width="10" style="2" customWidth="1"/>
    <col min="18" max="18" width="11.1640625" style="255" customWidth="1"/>
    <col min="19" max="19" width="9.33203125" style="2"/>
    <col min="20" max="20" width="9.33203125" style="41" hidden="1" customWidth="1"/>
    <col min="21" max="21" width="9.33203125" style="41"/>
    <col min="22" max="22" width="27.6640625" style="41" bestFit="1" customWidth="1"/>
    <col min="23" max="23" width="12.1640625" style="41" customWidth="1"/>
    <col min="24" max="24" width="28.1640625" style="41" hidden="1" customWidth="1"/>
    <col min="25" max="147" width="9.33203125" style="41"/>
    <col min="148" max="16384" width="9.33203125" style="2"/>
  </cols>
  <sheetData>
    <row r="1" spans="1:147" x14ac:dyDescent="0.2">
      <c r="A1" s="2" t="s">
        <v>0</v>
      </c>
      <c r="B1" s="135" t="str">
        <f>IF(ISBLANK(Summary!B1)," ",Summary!B1)</f>
        <v>Cox</v>
      </c>
      <c r="C1" s="137"/>
    </row>
    <row r="2" spans="1:147" x14ac:dyDescent="0.2">
      <c r="A2" s="2" t="s">
        <v>157</v>
      </c>
      <c r="B2" s="135" t="str">
        <f>IF(ISBLANK(Summary!B3)," ",Summary!B3)</f>
        <v>ECR WITHOUT MEETING</v>
      </c>
      <c r="C2" s="137"/>
      <c r="V2" s="42"/>
      <c r="X2" s="41" t="s">
        <v>93</v>
      </c>
    </row>
    <row r="3" spans="1:147" x14ac:dyDescent="0.2">
      <c r="A3" s="2" t="s">
        <v>2</v>
      </c>
      <c r="B3" s="231" t="s">
        <v>172</v>
      </c>
      <c r="C3" s="126"/>
      <c r="E3" s="467" t="s">
        <v>173</v>
      </c>
      <c r="F3" s="467"/>
      <c r="G3" s="467"/>
      <c r="H3" s="467"/>
      <c r="I3" s="467"/>
      <c r="J3" s="126"/>
      <c r="V3" s="42"/>
      <c r="X3" s="41" t="s">
        <v>94</v>
      </c>
    </row>
    <row r="4" spans="1:147" x14ac:dyDescent="0.2">
      <c r="A4" s="2" t="s">
        <v>3</v>
      </c>
      <c r="B4" s="135" t="str">
        <f>IF(ISBLANK(Summary!B5)," ",Summary!B5)</f>
        <v>T&amp;M</v>
      </c>
      <c r="C4" s="138"/>
      <c r="V4" s="42"/>
      <c r="X4" s="41" t="s">
        <v>162</v>
      </c>
    </row>
    <row r="5" spans="1:147" x14ac:dyDescent="0.2">
      <c r="A5" s="2" t="s">
        <v>144</v>
      </c>
      <c r="B5" s="98" t="str">
        <f>IF(ISBLANK(Summary!B6),"ADD on SUMMARY tab",Summary!B6)</f>
        <v>NA</v>
      </c>
      <c r="C5" s="98"/>
      <c r="G5" s="124" t="str">
        <f>IF(AND(O75&gt;0,O77=0),"Enter Total Price in N43"," ")</f>
        <v xml:space="preserve"> </v>
      </c>
      <c r="V5" s="42"/>
      <c r="X5" s="41" t="s">
        <v>95</v>
      </c>
    </row>
    <row r="6" spans="1:147" x14ac:dyDescent="0.2">
      <c r="A6" s="2" t="s">
        <v>4</v>
      </c>
      <c r="B6" s="87">
        <f>MIN(D14:D47)</f>
        <v>43461</v>
      </c>
      <c r="C6" s="139"/>
      <c r="D6" s="4" t="str">
        <f>IF(B6&gt;MIN(D14:D58),"Staffing Starts before this date!",IF(B6&lt;MIN(D14:D58),"No staffing on start date!",""))</f>
        <v/>
      </c>
      <c r="E6"/>
      <c r="F6"/>
      <c r="G6"/>
      <c r="H6" s="116"/>
      <c r="I6"/>
      <c r="J6"/>
      <c r="K6" s="200"/>
      <c r="L6" s="200"/>
      <c r="M6"/>
      <c r="N6" s="49"/>
      <c r="O6" s="200"/>
      <c r="V6" s="42"/>
      <c r="X6" s="41" t="s">
        <v>96</v>
      </c>
    </row>
    <row r="7" spans="1:147" x14ac:dyDescent="0.2">
      <c r="A7" s="2" t="s">
        <v>5</v>
      </c>
      <c r="B7" s="87">
        <f>MAX(E14:E47)</f>
        <v>43461</v>
      </c>
      <c r="C7" s="139"/>
      <c r="D7" s="4" t="str">
        <f>IF(B7&gt;MAX(E14:E58),"Staffing ends before project end date!",IF(B7&lt;MAX(E14:E58),"Staffing continues after end date!",""))</f>
        <v/>
      </c>
      <c r="E7"/>
      <c r="F7"/>
      <c r="G7"/>
      <c r="H7" s="116"/>
      <c r="I7"/>
      <c r="J7"/>
      <c r="K7" s="200"/>
      <c r="L7" s="200"/>
      <c r="M7"/>
      <c r="N7" s="49"/>
      <c r="O7" s="200"/>
      <c r="V7" s="42"/>
      <c r="X7" s="41" t="s">
        <v>97</v>
      </c>
    </row>
    <row r="8" spans="1:147" x14ac:dyDescent="0.2">
      <c r="A8" s="2" t="s">
        <v>6</v>
      </c>
      <c r="B8" s="135" t="str">
        <f>IF(ISBLANK(Summary!B9)," ",Summary!B9)</f>
        <v>Quote</v>
      </c>
      <c r="C8" s="138"/>
      <c r="E8" s="2" t="s">
        <v>153</v>
      </c>
      <c r="F8" s="88">
        <v>0</v>
      </c>
      <c r="V8" s="42"/>
      <c r="X8" s="41" t="s">
        <v>145</v>
      </c>
    </row>
    <row r="9" spans="1:147" x14ac:dyDescent="0.2">
      <c r="A9" s="2" t="s">
        <v>79</v>
      </c>
      <c r="B9" s="125">
        <v>8</v>
      </c>
      <c r="C9" s="140"/>
      <c r="E9" s="2" t="s">
        <v>152</v>
      </c>
      <c r="F9" s="88">
        <v>0</v>
      </c>
      <c r="V9" s="42"/>
      <c r="X9" s="41" t="s">
        <v>163</v>
      </c>
    </row>
    <row r="10" spans="1:147" x14ac:dyDescent="0.2">
      <c r="A10" s="2" t="s">
        <v>70</v>
      </c>
      <c r="B10" s="150" t="str">
        <f>IF(ISBLANK(Summary!B14),"SELECT ONE",Summary!B14)</f>
        <v>USD</v>
      </c>
      <c r="X10" s="41" t="s">
        <v>98</v>
      </c>
    </row>
    <row r="11" spans="1:147" x14ac:dyDescent="0.2">
      <c r="X11" s="41" t="s">
        <v>99</v>
      </c>
    </row>
    <row r="12" spans="1:147" x14ac:dyDescent="0.2">
      <c r="A12" s="3"/>
      <c r="B12" s="3"/>
      <c r="C12" s="3"/>
      <c r="D12" s="5"/>
      <c r="E12" s="5"/>
      <c r="F12" s="5"/>
      <c r="G12" s="6"/>
      <c r="H12" s="117"/>
      <c r="I12" s="6"/>
      <c r="J12" s="6"/>
      <c r="K12" s="201"/>
      <c r="L12" s="201"/>
      <c r="M12" s="6"/>
      <c r="N12" s="34" t="s">
        <v>80</v>
      </c>
      <c r="O12" s="201"/>
      <c r="P12" s="6"/>
      <c r="Q12" s="6"/>
      <c r="R12" s="256"/>
      <c r="X12" s="41" t="s">
        <v>100</v>
      </c>
    </row>
    <row r="13" spans="1:147" s="3" customFormat="1" x14ac:dyDescent="0.2">
      <c r="A13" s="12" t="s">
        <v>52</v>
      </c>
      <c r="B13" s="12" t="s">
        <v>53</v>
      </c>
      <c r="C13" s="12" t="s">
        <v>91</v>
      </c>
      <c r="D13" s="13" t="s">
        <v>54</v>
      </c>
      <c r="E13" s="13" t="s">
        <v>55</v>
      </c>
      <c r="F13" s="13" t="s">
        <v>7</v>
      </c>
      <c r="G13" s="13" t="s">
        <v>20</v>
      </c>
      <c r="H13" s="118" t="s">
        <v>78</v>
      </c>
      <c r="I13" s="35" t="s">
        <v>10</v>
      </c>
      <c r="J13" s="13" t="s">
        <v>56</v>
      </c>
      <c r="K13" s="202" t="s">
        <v>57</v>
      </c>
      <c r="L13" s="213" t="s">
        <v>31</v>
      </c>
      <c r="M13" s="13" t="s">
        <v>21</v>
      </c>
      <c r="N13" s="35" t="s">
        <v>22</v>
      </c>
      <c r="O13" s="213" t="s">
        <v>58</v>
      </c>
      <c r="P13" s="13" t="s">
        <v>32</v>
      </c>
      <c r="Q13" s="13" t="s">
        <v>23</v>
      </c>
      <c r="R13" s="257" t="s">
        <v>199</v>
      </c>
      <c r="T13" s="230"/>
      <c r="U13" s="230"/>
      <c r="V13" s="230"/>
      <c r="W13" s="230"/>
      <c r="X13" s="41" t="s">
        <v>137</v>
      </c>
      <c r="Y13" s="230"/>
      <c r="Z13" s="230"/>
      <c r="AA13" s="230"/>
      <c r="AB13" s="230"/>
      <c r="AC13" s="230"/>
      <c r="AD13" s="230"/>
      <c r="AE13" s="230"/>
      <c r="AF13" s="230"/>
      <c r="AG13" s="230"/>
      <c r="AH13" s="230"/>
      <c r="AI13" s="230"/>
      <c r="AJ13" s="230"/>
      <c r="AK13" s="230"/>
      <c r="AL13" s="230"/>
      <c r="AM13" s="230"/>
      <c r="AN13" s="230"/>
      <c r="AO13" s="230"/>
      <c r="AP13" s="230"/>
      <c r="AQ13" s="230"/>
      <c r="AR13" s="230"/>
      <c r="AS13" s="230"/>
      <c r="AT13" s="230"/>
      <c r="AU13" s="230"/>
      <c r="AV13" s="230"/>
      <c r="AW13" s="230"/>
      <c r="AX13" s="230"/>
      <c r="AY13" s="230"/>
      <c r="AZ13" s="230"/>
      <c r="BA13" s="230"/>
      <c r="BB13" s="230"/>
      <c r="BC13" s="230"/>
      <c r="BD13" s="230"/>
      <c r="BE13" s="230"/>
      <c r="BF13" s="230"/>
      <c r="BG13" s="230"/>
      <c r="BH13" s="230"/>
      <c r="BI13" s="230"/>
      <c r="BJ13" s="230"/>
      <c r="BK13" s="230"/>
      <c r="BL13" s="230"/>
      <c r="BM13" s="230"/>
      <c r="BN13" s="230"/>
      <c r="BO13" s="230"/>
      <c r="BP13" s="230"/>
      <c r="BQ13" s="230"/>
      <c r="BR13" s="230"/>
      <c r="BS13" s="230"/>
      <c r="BT13" s="230"/>
      <c r="BU13" s="230"/>
      <c r="BV13" s="230"/>
      <c r="BW13" s="230"/>
      <c r="BX13" s="230"/>
      <c r="BY13" s="230"/>
      <c r="BZ13" s="230"/>
      <c r="CA13" s="230"/>
      <c r="CB13" s="230"/>
      <c r="CC13" s="230"/>
      <c r="CD13" s="230"/>
      <c r="CE13" s="230"/>
      <c r="CF13" s="230"/>
      <c r="CG13" s="230"/>
      <c r="CH13" s="230"/>
      <c r="CI13" s="230"/>
      <c r="CJ13" s="230"/>
      <c r="CK13" s="230"/>
      <c r="CL13" s="230"/>
      <c r="CM13" s="230"/>
      <c r="CN13" s="230"/>
      <c r="CO13" s="230"/>
      <c r="CP13" s="230"/>
      <c r="CQ13" s="230"/>
      <c r="CR13" s="230"/>
      <c r="CS13" s="230"/>
      <c r="CT13" s="230"/>
      <c r="CU13" s="230"/>
      <c r="CV13" s="230"/>
      <c r="CW13" s="230"/>
      <c r="CX13" s="230"/>
      <c r="CY13" s="230"/>
      <c r="CZ13" s="230"/>
      <c r="DA13" s="230"/>
      <c r="DB13" s="230"/>
      <c r="DC13" s="230"/>
      <c r="DD13" s="230"/>
      <c r="DE13" s="230"/>
      <c r="DF13" s="230"/>
      <c r="DG13" s="230"/>
      <c r="DH13" s="230"/>
      <c r="DI13" s="230"/>
      <c r="DJ13" s="230"/>
      <c r="DK13" s="230"/>
      <c r="DL13" s="230"/>
      <c r="DM13" s="230"/>
      <c r="DN13" s="230"/>
      <c r="DO13" s="230"/>
      <c r="DP13" s="230"/>
      <c r="DQ13" s="230"/>
      <c r="DR13" s="230"/>
      <c r="DS13" s="230"/>
      <c r="DT13" s="230"/>
      <c r="DU13" s="230"/>
      <c r="DV13" s="230"/>
      <c r="DW13" s="230"/>
      <c r="DX13" s="230"/>
      <c r="DY13" s="230"/>
      <c r="DZ13" s="230"/>
      <c r="EA13" s="230"/>
      <c r="EB13" s="230"/>
      <c r="EC13" s="230"/>
      <c r="ED13" s="230"/>
      <c r="EE13" s="230"/>
      <c r="EF13" s="230"/>
      <c r="EG13" s="230"/>
      <c r="EH13" s="230"/>
      <c r="EI13" s="230"/>
      <c r="EJ13" s="230"/>
      <c r="EK13" s="230"/>
      <c r="EL13" s="230"/>
      <c r="EM13" s="230"/>
      <c r="EN13" s="230"/>
      <c r="EO13" s="230"/>
      <c r="EP13" s="230"/>
      <c r="EQ13" s="230"/>
    </row>
    <row r="14" spans="1:147" outlineLevel="1" x14ac:dyDescent="0.2">
      <c r="A14" s="156" t="s">
        <v>205</v>
      </c>
      <c r="B14" s="156"/>
      <c r="C14" s="86"/>
      <c r="D14" s="157">
        <v>43461</v>
      </c>
      <c r="E14" s="157">
        <v>43461</v>
      </c>
      <c r="F14" s="158"/>
      <c r="G14" s="159">
        <f t="shared" ref="G14:G31" si="0">IF(ISBLANK(A14),"",NETWORKDAYS(D14,E14)*F14)</f>
        <v>0</v>
      </c>
      <c r="H14" s="160">
        <f t="shared" ref="H14:H31" si="1">IF(ISBLANK(A14),"",G14*$B$9)</f>
        <v>0</v>
      </c>
      <c r="I14" s="172">
        <f>IF(ISBLANK(A14),"",VLOOKUP(A14,gsrates!$A$3:$AQ$39,VLOOKUP($B$5,gsrates!$A$42:$C$62,2,FALSE),FALSE))</f>
        <v>355</v>
      </c>
      <c r="J14" s="79">
        <f t="shared" ref="J14:J31" si="2">IF(ISBLANK(A14),"",H14*I14)</f>
        <v>0</v>
      </c>
      <c r="K14" s="203">
        <f>IF(ISBLANK(A14),"",VLOOKUP(A14,gsrates!$A$3:$AQ$39,VLOOKUP($B$5,gsrates!$A$42:$C$62,3,FALSE),FALSE))</f>
        <v>180</v>
      </c>
      <c r="L14" s="203">
        <f t="shared" ref="L14:L31" si="3">IF(ISBLANK(A14),"",K14*G14*8)</f>
        <v>0</v>
      </c>
      <c r="M14" s="79">
        <f t="shared" ref="M14:M31" si="4">IF(ISBLANK(A14),"",J14-L14)</f>
        <v>0</v>
      </c>
      <c r="N14" s="173">
        <v>0</v>
      </c>
      <c r="O14" s="203">
        <f t="shared" ref="O14:O31" si="5">IF(ISBLANK(A14),"",G14*N14*$B$9)</f>
        <v>0</v>
      </c>
      <c r="P14" s="79">
        <f t="shared" ref="P14:P31" si="6">IF(ISBLANK(A14),"",O14-L14)</f>
        <v>0</v>
      </c>
      <c r="Q14" s="151" t="e">
        <f t="shared" ref="Q14:Q31" si="7">IF(ISBLANK(A14),"",P14/O14)</f>
        <v>#DIV/0!</v>
      </c>
      <c r="R14" s="258" t="str">
        <f>IF(H14&gt;0,1-O14/J14,"")</f>
        <v/>
      </c>
      <c r="S14" s="41"/>
      <c r="T14" s="41" t="str">
        <f t="shared" ref="T14:T22" si="8">IF(ISBLANK(A14),"",CONCATENATE(C14,"-",$B$5))</f>
        <v>-NA</v>
      </c>
      <c r="X14" s="41" t="s">
        <v>155</v>
      </c>
    </row>
    <row r="15" spans="1:147" outlineLevel="1" x14ac:dyDescent="0.2">
      <c r="A15" s="156" t="s">
        <v>206</v>
      </c>
      <c r="B15" s="156"/>
      <c r="C15" s="86"/>
      <c r="D15" s="157">
        <v>43461</v>
      </c>
      <c r="E15" s="157">
        <v>43461</v>
      </c>
      <c r="F15" s="158"/>
      <c r="G15" s="159">
        <f t="shared" si="0"/>
        <v>0</v>
      </c>
      <c r="H15" s="160">
        <f t="shared" si="1"/>
        <v>0</v>
      </c>
      <c r="I15" s="172">
        <f>IF(ISBLANK(A15),"",VLOOKUP(A15,gsrates!$A$3:$AQ$39,VLOOKUP($B$5,gsrates!$A$42:$C$62,2,FALSE),FALSE))</f>
        <v>325</v>
      </c>
      <c r="J15" s="79">
        <f t="shared" si="2"/>
        <v>0</v>
      </c>
      <c r="K15" s="203">
        <f>IF(ISBLANK(A15),"",VLOOKUP(A15,gsrates!$A$3:$AQ$39,VLOOKUP($B$5,gsrates!$A$42:$C$62,3,FALSE),FALSE))</f>
        <v>143</v>
      </c>
      <c r="L15" s="203">
        <f t="shared" si="3"/>
        <v>0</v>
      </c>
      <c r="M15" s="79">
        <f t="shared" si="4"/>
        <v>0</v>
      </c>
      <c r="N15" s="173">
        <v>0</v>
      </c>
      <c r="O15" s="203">
        <f t="shared" si="5"/>
        <v>0</v>
      </c>
      <c r="P15" s="79">
        <f t="shared" si="6"/>
        <v>0</v>
      </c>
      <c r="Q15" s="151" t="e">
        <f t="shared" si="7"/>
        <v>#DIV/0!</v>
      </c>
      <c r="R15" s="258" t="str">
        <f t="shared" ref="R15:R46" si="9">IF(H15&gt;0,1-O15/J15,"")</f>
        <v/>
      </c>
      <c r="S15" s="41"/>
      <c r="T15" s="41" t="str">
        <f t="shared" si="8"/>
        <v>-NA</v>
      </c>
    </row>
    <row r="16" spans="1:147" outlineLevel="1" x14ac:dyDescent="0.2">
      <c r="A16" s="156" t="s">
        <v>207</v>
      </c>
      <c r="B16" s="156"/>
      <c r="C16" s="86"/>
      <c r="D16" s="157">
        <v>43461</v>
      </c>
      <c r="E16" s="157">
        <v>43461</v>
      </c>
      <c r="F16" s="158"/>
      <c r="G16" s="159">
        <f t="shared" si="0"/>
        <v>0</v>
      </c>
      <c r="H16" s="160">
        <f t="shared" si="1"/>
        <v>0</v>
      </c>
      <c r="I16" s="172">
        <f>IF(ISBLANK(A16),"",VLOOKUP(A16,gsrates!$A$3:$AQ$39,VLOOKUP($B$5,gsrates!$A$42:$C$62,2,FALSE),FALSE))</f>
        <v>330</v>
      </c>
      <c r="J16" s="79">
        <f t="shared" si="2"/>
        <v>0</v>
      </c>
      <c r="K16" s="203">
        <f>IF(ISBLANK(A16),"",VLOOKUP(A16,gsrates!$A$3:$AQ$39,VLOOKUP($B$5,gsrates!$A$42:$C$62,3,FALSE),FALSE))</f>
        <v>140</v>
      </c>
      <c r="L16" s="203">
        <f t="shared" si="3"/>
        <v>0</v>
      </c>
      <c r="M16" s="79">
        <f t="shared" si="4"/>
        <v>0</v>
      </c>
      <c r="N16" s="173">
        <v>0</v>
      </c>
      <c r="O16" s="203">
        <f t="shared" si="5"/>
        <v>0</v>
      </c>
      <c r="P16" s="79">
        <f t="shared" si="6"/>
        <v>0</v>
      </c>
      <c r="Q16" s="151" t="e">
        <f t="shared" si="7"/>
        <v>#DIV/0!</v>
      </c>
      <c r="R16" s="258" t="str">
        <f t="shared" si="9"/>
        <v/>
      </c>
      <c r="S16" s="41"/>
      <c r="T16" s="41" t="str">
        <f t="shared" si="8"/>
        <v>-NA</v>
      </c>
    </row>
    <row r="17" spans="1:20" outlineLevel="1" x14ac:dyDescent="0.2">
      <c r="A17" s="156" t="s">
        <v>208</v>
      </c>
      <c r="B17" s="156"/>
      <c r="C17" s="86"/>
      <c r="D17" s="157">
        <v>43461</v>
      </c>
      <c r="E17" s="157">
        <v>43461</v>
      </c>
      <c r="F17" s="158"/>
      <c r="G17" s="159">
        <f t="shared" si="0"/>
        <v>0</v>
      </c>
      <c r="H17" s="160">
        <f t="shared" si="1"/>
        <v>0</v>
      </c>
      <c r="I17" s="172">
        <f>IF(ISBLANK(A17),"",VLOOKUP(A17,gsrates!$A$3:$AQ$39,VLOOKUP($B$5,gsrates!$A$42:$C$62,2,FALSE),FALSE))</f>
        <v>330</v>
      </c>
      <c r="J17" s="79">
        <f t="shared" si="2"/>
        <v>0</v>
      </c>
      <c r="K17" s="203">
        <f>IF(ISBLANK(A17),"",VLOOKUP(A17,gsrates!$A$3:$AQ$39,VLOOKUP($B$5,gsrates!$A$42:$C$62,3,FALSE),FALSE))</f>
        <v>183</v>
      </c>
      <c r="L17" s="203">
        <f t="shared" si="3"/>
        <v>0</v>
      </c>
      <c r="M17" s="79">
        <f t="shared" si="4"/>
        <v>0</v>
      </c>
      <c r="N17" s="173">
        <v>0</v>
      </c>
      <c r="O17" s="203">
        <f t="shared" si="5"/>
        <v>0</v>
      </c>
      <c r="P17" s="79">
        <f t="shared" si="6"/>
        <v>0</v>
      </c>
      <c r="Q17" s="151" t="e">
        <f t="shared" si="7"/>
        <v>#DIV/0!</v>
      </c>
      <c r="R17" s="258" t="str">
        <f t="shared" si="9"/>
        <v/>
      </c>
      <c r="S17" s="41"/>
      <c r="T17" s="41" t="str">
        <f t="shared" si="8"/>
        <v>-NA</v>
      </c>
    </row>
    <row r="18" spans="1:20" outlineLevel="1" x14ac:dyDescent="0.2">
      <c r="A18" s="156" t="s">
        <v>209</v>
      </c>
      <c r="B18" s="156"/>
      <c r="C18" s="86"/>
      <c r="D18" s="157">
        <v>43461</v>
      </c>
      <c r="E18" s="157">
        <v>43461</v>
      </c>
      <c r="F18" s="158"/>
      <c r="G18" s="159">
        <f t="shared" si="0"/>
        <v>0</v>
      </c>
      <c r="H18" s="160">
        <f t="shared" si="1"/>
        <v>0</v>
      </c>
      <c r="I18" s="172">
        <f>IF(ISBLANK(A18),"",VLOOKUP(A18,gsrates!$A$3:$AQ$39,VLOOKUP($B$5,gsrates!$A$42:$C$62,2,FALSE),FALSE))</f>
        <v>325</v>
      </c>
      <c r="J18" s="79">
        <f t="shared" si="2"/>
        <v>0</v>
      </c>
      <c r="K18" s="203">
        <f>IF(ISBLANK(A18),"",VLOOKUP(A18,gsrates!$A$3:$AQ$39,VLOOKUP($B$5,gsrates!$A$42:$C$62,3,FALSE),FALSE))</f>
        <v>116</v>
      </c>
      <c r="L18" s="203">
        <f t="shared" si="3"/>
        <v>0</v>
      </c>
      <c r="M18" s="79">
        <f t="shared" si="4"/>
        <v>0</v>
      </c>
      <c r="N18" s="173">
        <v>0</v>
      </c>
      <c r="O18" s="203">
        <f t="shared" si="5"/>
        <v>0</v>
      </c>
      <c r="P18" s="79">
        <f t="shared" si="6"/>
        <v>0</v>
      </c>
      <c r="Q18" s="151" t="e">
        <f t="shared" si="7"/>
        <v>#DIV/0!</v>
      </c>
      <c r="R18" s="258" t="str">
        <f t="shared" si="9"/>
        <v/>
      </c>
      <c r="S18" s="41"/>
      <c r="T18" s="41" t="str">
        <f t="shared" si="8"/>
        <v>-NA</v>
      </c>
    </row>
    <row r="19" spans="1:20" outlineLevel="1" x14ac:dyDescent="0.2">
      <c r="A19" s="156" t="s">
        <v>210</v>
      </c>
      <c r="B19" s="156"/>
      <c r="C19" s="86"/>
      <c r="D19" s="157">
        <v>43461</v>
      </c>
      <c r="E19" s="157">
        <v>43461</v>
      </c>
      <c r="F19" s="158"/>
      <c r="G19" s="159">
        <f t="shared" si="0"/>
        <v>0</v>
      </c>
      <c r="H19" s="160">
        <f t="shared" si="1"/>
        <v>0</v>
      </c>
      <c r="I19" s="172">
        <f>IF(ISBLANK(A19),"",VLOOKUP(A19,gsrates!$A$3:$AQ$39,VLOOKUP($B$5,gsrates!$A$42:$C$62,2,FALSE),FALSE))</f>
        <v>325</v>
      </c>
      <c r="J19" s="79">
        <f t="shared" si="2"/>
        <v>0</v>
      </c>
      <c r="K19" s="203">
        <f>IF(ISBLANK(A19),"",VLOOKUP(A19,gsrates!$A$3:$AQ$39,VLOOKUP($B$5,gsrates!$A$42:$C$62,3,FALSE),FALSE))</f>
        <v>121</v>
      </c>
      <c r="L19" s="203">
        <f t="shared" si="3"/>
        <v>0</v>
      </c>
      <c r="M19" s="79">
        <f t="shared" si="4"/>
        <v>0</v>
      </c>
      <c r="N19" s="173">
        <v>0</v>
      </c>
      <c r="O19" s="203">
        <f t="shared" si="5"/>
        <v>0</v>
      </c>
      <c r="P19" s="79">
        <f t="shared" si="6"/>
        <v>0</v>
      </c>
      <c r="Q19" s="151" t="e">
        <f t="shared" si="7"/>
        <v>#DIV/0!</v>
      </c>
      <c r="R19" s="258" t="str">
        <f t="shared" si="9"/>
        <v/>
      </c>
      <c r="S19" s="41"/>
      <c r="T19" s="41" t="str">
        <f t="shared" si="8"/>
        <v>-NA</v>
      </c>
    </row>
    <row r="20" spans="1:20" outlineLevel="1" x14ac:dyDescent="0.2">
      <c r="A20" s="156" t="s">
        <v>211</v>
      </c>
      <c r="B20" s="156"/>
      <c r="C20" s="86"/>
      <c r="D20" s="157">
        <v>43461</v>
      </c>
      <c r="E20" s="157">
        <v>43461</v>
      </c>
      <c r="F20" s="158"/>
      <c r="G20" s="159">
        <f t="shared" si="0"/>
        <v>0</v>
      </c>
      <c r="H20" s="160">
        <f t="shared" si="1"/>
        <v>0</v>
      </c>
      <c r="I20" s="172">
        <f>IF(ISBLANK(A20),"",VLOOKUP(A20,gsrates!$A$3:$AQ$39,VLOOKUP($B$5,gsrates!$A$42:$C$62,2,FALSE),FALSE))</f>
        <v>295</v>
      </c>
      <c r="J20" s="79">
        <f t="shared" si="2"/>
        <v>0</v>
      </c>
      <c r="K20" s="203">
        <f>IF(ISBLANK(A20),"",VLOOKUP(A20,gsrates!$A$3:$AQ$39,VLOOKUP($B$5,gsrates!$A$42:$C$62,3,FALSE),FALSE))</f>
        <v>97</v>
      </c>
      <c r="L20" s="203">
        <f t="shared" si="3"/>
        <v>0</v>
      </c>
      <c r="M20" s="79">
        <f t="shared" si="4"/>
        <v>0</v>
      </c>
      <c r="N20" s="173">
        <v>0</v>
      </c>
      <c r="O20" s="203">
        <f t="shared" si="5"/>
        <v>0</v>
      </c>
      <c r="P20" s="79">
        <f t="shared" si="6"/>
        <v>0</v>
      </c>
      <c r="Q20" s="151" t="e">
        <f t="shared" si="7"/>
        <v>#DIV/0!</v>
      </c>
      <c r="R20" s="258" t="str">
        <f t="shared" si="9"/>
        <v/>
      </c>
      <c r="S20" s="41"/>
      <c r="T20" s="41" t="str">
        <f t="shared" si="8"/>
        <v>-NA</v>
      </c>
    </row>
    <row r="21" spans="1:20" outlineLevel="1" x14ac:dyDescent="0.2">
      <c r="A21" s="156" t="s">
        <v>212</v>
      </c>
      <c r="B21" s="156"/>
      <c r="C21" s="86"/>
      <c r="D21" s="157">
        <v>43461</v>
      </c>
      <c r="E21" s="157">
        <v>43461</v>
      </c>
      <c r="F21" s="158"/>
      <c r="G21" s="159">
        <f t="shared" si="0"/>
        <v>0</v>
      </c>
      <c r="H21" s="160">
        <f t="shared" si="1"/>
        <v>0</v>
      </c>
      <c r="I21" s="172">
        <f>IF(ISBLANK(A21),"",VLOOKUP(A21,gsrates!$A$3:$AQ$39,VLOOKUP($B$5,gsrates!$A$42:$C$62,2,FALSE),FALSE))</f>
        <v>295</v>
      </c>
      <c r="J21" s="79">
        <f t="shared" si="2"/>
        <v>0</v>
      </c>
      <c r="K21" s="203">
        <f>IF(ISBLANK(A21),"",VLOOKUP(A21,gsrates!$A$3:$AQ$39,VLOOKUP($B$5,gsrates!$A$42:$C$62,3,FALSE),FALSE))</f>
        <v>99</v>
      </c>
      <c r="L21" s="203">
        <f t="shared" si="3"/>
        <v>0</v>
      </c>
      <c r="M21" s="79">
        <f t="shared" si="4"/>
        <v>0</v>
      </c>
      <c r="N21" s="173">
        <v>0</v>
      </c>
      <c r="O21" s="203">
        <f t="shared" si="5"/>
        <v>0</v>
      </c>
      <c r="P21" s="79">
        <f t="shared" si="6"/>
        <v>0</v>
      </c>
      <c r="Q21" s="151" t="e">
        <f t="shared" si="7"/>
        <v>#DIV/0!</v>
      </c>
      <c r="R21" s="258" t="str">
        <f t="shared" si="9"/>
        <v/>
      </c>
      <c r="S21" s="41"/>
      <c r="T21" s="41" t="str">
        <f t="shared" si="8"/>
        <v>-NA</v>
      </c>
    </row>
    <row r="22" spans="1:20" outlineLevel="1" x14ac:dyDescent="0.2">
      <c r="A22" s="156" t="s">
        <v>213</v>
      </c>
      <c r="B22" s="156"/>
      <c r="C22" s="86"/>
      <c r="D22" s="157">
        <v>43461</v>
      </c>
      <c r="E22" s="157">
        <v>43461</v>
      </c>
      <c r="F22" s="158"/>
      <c r="G22" s="159">
        <f t="shared" si="0"/>
        <v>0</v>
      </c>
      <c r="H22" s="160">
        <f t="shared" si="1"/>
        <v>0</v>
      </c>
      <c r="I22" s="172">
        <f>IF(ISBLANK(A22),"",VLOOKUP(A22,gsrates!$A$3:$AQ$39,VLOOKUP($B$5,gsrates!$A$42:$C$62,2,FALSE),FALSE))</f>
        <v>260</v>
      </c>
      <c r="J22" s="79">
        <f t="shared" si="2"/>
        <v>0</v>
      </c>
      <c r="K22" s="203">
        <f>IF(ISBLANK(A22),"",VLOOKUP(A22,gsrates!$A$3:$AQ$39,VLOOKUP($B$5,gsrates!$A$42:$C$62,3,FALSE),FALSE))</f>
        <v>72</v>
      </c>
      <c r="L22" s="203">
        <f t="shared" si="3"/>
        <v>0</v>
      </c>
      <c r="M22" s="79">
        <f t="shared" si="4"/>
        <v>0</v>
      </c>
      <c r="N22" s="173">
        <v>0</v>
      </c>
      <c r="O22" s="203">
        <f t="shared" si="5"/>
        <v>0</v>
      </c>
      <c r="P22" s="79">
        <f t="shared" si="6"/>
        <v>0</v>
      </c>
      <c r="Q22" s="151" t="e">
        <f t="shared" si="7"/>
        <v>#DIV/0!</v>
      </c>
      <c r="R22" s="258" t="str">
        <f t="shared" si="9"/>
        <v/>
      </c>
      <c r="S22" s="41"/>
      <c r="T22" s="41" t="str">
        <f t="shared" si="8"/>
        <v>-NA</v>
      </c>
    </row>
    <row r="23" spans="1:20" outlineLevel="1" x14ac:dyDescent="0.2">
      <c r="A23" s="156" t="s">
        <v>214</v>
      </c>
      <c r="B23" s="156"/>
      <c r="C23" s="86"/>
      <c r="D23" s="157">
        <v>43461</v>
      </c>
      <c r="E23" s="157">
        <v>43461</v>
      </c>
      <c r="F23" s="158"/>
      <c r="G23" s="159">
        <f t="shared" si="0"/>
        <v>0</v>
      </c>
      <c r="H23" s="160">
        <f t="shared" si="1"/>
        <v>0</v>
      </c>
      <c r="I23" s="172">
        <f>IF(ISBLANK(A23),"",VLOOKUP(A23,gsrates!$A$3:$AQ$39,VLOOKUP($B$5,gsrates!$A$42:$C$62,2,FALSE),FALSE))</f>
        <v>210</v>
      </c>
      <c r="J23" s="79">
        <f t="shared" si="2"/>
        <v>0</v>
      </c>
      <c r="K23" s="203">
        <f>IF(ISBLANK(A23),"",VLOOKUP(A23,gsrates!$A$3:$AQ$39,VLOOKUP($B$5,gsrates!$A$42:$C$62,3,FALSE),FALSE))</f>
        <v>65</v>
      </c>
      <c r="L23" s="203">
        <f t="shared" si="3"/>
        <v>0</v>
      </c>
      <c r="M23" s="79">
        <f t="shared" si="4"/>
        <v>0</v>
      </c>
      <c r="N23" s="173">
        <v>0</v>
      </c>
      <c r="O23" s="203">
        <f t="shared" si="5"/>
        <v>0</v>
      </c>
      <c r="P23" s="79">
        <f t="shared" si="6"/>
        <v>0</v>
      </c>
      <c r="Q23" s="151" t="e">
        <f t="shared" si="7"/>
        <v>#DIV/0!</v>
      </c>
      <c r="R23" s="258"/>
      <c r="S23" s="41"/>
    </row>
    <row r="24" spans="1:20" outlineLevel="1" x14ac:dyDescent="0.2">
      <c r="A24" s="156" t="s">
        <v>215</v>
      </c>
      <c r="B24" s="156"/>
      <c r="C24" s="86"/>
      <c r="D24" s="157">
        <v>43461</v>
      </c>
      <c r="E24" s="157">
        <v>43461</v>
      </c>
      <c r="F24" s="158"/>
      <c r="G24" s="159">
        <f t="shared" si="0"/>
        <v>0</v>
      </c>
      <c r="H24" s="160">
        <f t="shared" si="1"/>
        <v>0</v>
      </c>
      <c r="I24" s="172">
        <f>IF(ISBLANK(A24),"",VLOOKUP(A24,gsrates!$A$3:$AQ$39,VLOOKUP($B$5,gsrates!$A$42:$C$62,2,FALSE),FALSE))</f>
        <v>330</v>
      </c>
      <c r="J24" s="79">
        <f t="shared" si="2"/>
        <v>0</v>
      </c>
      <c r="K24" s="203">
        <f>IF(ISBLANK(A24),"",VLOOKUP(A24,gsrates!$A$3:$AQ$39,VLOOKUP($B$5,gsrates!$A$42:$C$62,3,FALSE),FALSE))</f>
        <v>134</v>
      </c>
      <c r="L24" s="203">
        <f t="shared" si="3"/>
        <v>0</v>
      </c>
      <c r="M24" s="79">
        <f t="shared" si="4"/>
        <v>0</v>
      </c>
      <c r="N24" s="173">
        <v>0</v>
      </c>
      <c r="O24" s="203">
        <f t="shared" si="5"/>
        <v>0</v>
      </c>
      <c r="P24" s="79">
        <f t="shared" si="6"/>
        <v>0</v>
      </c>
      <c r="Q24" s="151" t="e">
        <f t="shared" si="7"/>
        <v>#DIV/0!</v>
      </c>
      <c r="R24" s="258" t="str">
        <f t="shared" si="9"/>
        <v/>
      </c>
      <c r="S24" s="41"/>
      <c r="T24" s="41" t="str">
        <f>IF(ISBLANK(A24),"",CONCATENATE(C24,"-",$B$5))</f>
        <v>-NA</v>
      </c>
    </row>
    <row r="25" spans="1:20" outlineLevel="1" x14ac:dyDescent="0.2">
      <c r="A25" s="156" t="s">
        <v>216</v>
      </c>
      <c r="B25" s="156"/>
      <c r="C25" s="86"/>
      <c r="D25" s="157">
        <v>43461</v>
      </c>
      <c r="E25" s="157">
        <v>43461</v>
      </c>
      <c r="F25" s="158"/>
      <c r="G25" s="159">
        <f t="shared" si="0"/>
        <v>0</v>
      </c>
      <c r="H25" s="160">
        <f t="shared" si="1"/>
        <v>0</v>
      </c>
      <c r="I25" s="172">
        <f>IF(ISBLANK(A25),"",VLOOKUP(A25,gsrates!$A$3:$AQ$39,VLOOKUP($B$5,gsrates!$A$42:$C$62,2,FALSE),FALSE))</f>
        <v>325</v>
      </c>
      <c r="J25" s="79">
        <f t="shared" si="2"/>
        <v>0</v>
      </c>
      <c r="K25" s="203">
        <f>IF(ISBLANK(A25),"",VLOOKUP(A25,gsrates!$A$3:$AQ$39,VLOOKUP($B$5,gsrates!$A$42:$C$62,3,FALSE),FALSE))</f>
        <v>117</v>
      </c>
      <c r="L25" s="203">
        <f t="shared" si="3"/>
        <v>0</v>
      </c>
      <c r="M25" s="79">
        <f t="shared" si="4"/>
        <v>0</v>
      </c>
      <c r="N25" s="173">
        <v>0</v>
      </c>
      <c r="O25" s="203">
        <f t="shared" si="5"/>
        <v>0</v>
      </c>
      <c r="P25" s="79">
        <f t="shared" si="6"/>
        <v>0</v>
      </c>
      <c r="Q25" s="151" t="e">
        <f t="shared" si="7"/>
        <v>#DIV/0!</v>
      </c>
      <c r="R25" s="258" t="str">
        <f t="shared" si="9"/>
        <v/>
      </c>
      <c r="S25" s="41"/>
      <c r="T25" s="41" t="str">
        <f>IF(ISBLANK(A25),"",CONCATENATE(C25,"-",$B$5))</f>
        <v>-NA</v>
      </c>
    </row>
    <row r="26" spans="1:20" outlineLevel="1" x14ac:dyDescent="0.2">
      <c r="A26" s="156" t="s">
        <v>217</v>
      </c>
      <c r="B26" s="156"/>
      <c r="C26" s="86"/>
      <c r="D26" s="157">
        <v>43461</v>
      </c>
      <c r="E26" s="157">
        <v>43461</v>
      </c>
      <c r="F26" s="158"/>
      <c r="G26" s="159">
        <f t="shared" si="0"/>
        <v>0</v>
      </c>
      <c r="H26" s="160">
        <f t="shared" si="1"/>
        <v>0</v>
      </c>
      <c r="I26" s="172">
        <f>IF(ISBLANK(A26),"",VLOOKUP(A26,gsrates!$A$3:$AQ$39,VLOOKUP($B$5,gsrates!$A$42:$C$62,2,FALSE),FALSE))</f>
        <v>295</v>
      </c>
      <c r="J26" s="79">
        <f t="shared" si="2"/>
        <v>0</v>
      </c>
      <c r="K26" s="203">
        <f>IF(ISBLANK(A26),"",VLOOKUP(A26,gsrates!$A$3:$AQ$39,VLOOKUP($B$5,gsrates!$A$42:$C$62,3,FALSE),FALSE))</f>
        <v>103</v>
      </c>
      <c r="L26" s="203">
        <f t="shared" si="3"/>
        <v>0</v>
      </c>
      <c r="M26" s="79">
        <f t="shared" si="4"/>
        <v>0</v>
      </c>
      <c r="N26" s="173">
        <v>0</v>
      </c>
      <c r="O26" s="203">
        <f t="shared" si="5"/>
        <v>0</v>
      </c>
      <c r="P26" s="79">
        <f t="shared" si="6"/>
        <v>0</v>
      </c>
      <c r="Q26" s="151" t="e">
        <f t="shared" si="7"/>
        <v>#DIV/0!</v>
      </c>
      <c r="R26" s="258" t="str">
        <f t="shared" si="9"/>
        <v/>
      </c>
      <c r="S26" s="41"/>
      <c r="T26" s="41" t="str">
        <f>IF(ISBLANK(A26),"",CONCATENATE(C26,"-",$B$5))</f>
        <v>-NA</v>
      </c>
    </row>
    <row r="27" spans="1:20" outlineLevel="1" x14ac:dyDescent="0.2">
      <c r="A27" s="156" t="s">
        <v>218</v>
      </c>
      <c r="B27" s="156"/>
      <c r="C27" s="86"/>
      <c r="D27" s="157">
        <v>43461</v>
      </c>
      <c r="E27" s="157">
        <v>43461</v>
      </c>
      <c r="F27" s="158"/>
      <c r="G27" s="159">
        <f t="shared" si="0"/>
        <v>0</v>
      </c>
      <c r="H27" s="160">
        <f t="shared" si="1"/>
        <v>0</v>
      </c>
      <c r="I27" s="172">
        <f>IF(ISBLANK(A27),"",VLOOKUP(A27,gsrates!$A$3:$AQ$39,VLOOKUP($B$5,gsrates!$A$42:$C$62,2,FALSE),FALSE))</f>
        <v>260</v>
      </c>
      <c r="J27" s="79">
        <f t="shared" si="2"/>
        <v>0</v>
      </c>
      <c r="K27" s="203">
        <f>IF(ISBLANK(A27),"",VLOOKUP(A27,gsrates!$A$3:$AQ$39,VLOOKUP($B$5,gsrates!$A$42:$C$62,3,FALSE),FALSE))</f>
        <v>59</v>
      </c>
      <c r="L27" s="203">
        <f t="shared" si="3"/>
        <v>0</v>
      </c>
      <c r="M27" s="79">
        <f t="shared" si="4"/>
        <v>0</v>
      </c>
      <c r="N27" s="173">
        <v>0</v>
      </c>
      <c r="O27" s="203">
        <f t="shared" si="5"/>
        <v>0</v>
      </c>
      <c r="P27" s="79">
        <f t="shared" si="6"/>
        <v>0</v>
      </c>
      <c r="Q27" s="151" t="e">
        <f t="shared" si="7"/>
        <v>#DIV/0!</v>
      </c>
      <c r="R27" s="258" t="str">
        <f t="shared" si="9"/>
        <v/>
      </c>
      <c r="S27" s="41"/>
      <c r="T27" s="41" t="str">
        <f>IF(ISBLANK(A27),"",CONCATENATE(C27,"-",$B$5))</f>
        <v>-NA</v>
      </c>
    </row>
    <row r="28" spans="1:20" outlineLevel="1" x14ac:dyDescent="0.2">
      <c r="A28" s="156" t="s">
        <v>219</v>
      </c>
      <c r="B28" s="156"/>
      <c r="C28" s="86"/>
      <c r="D28" s="157">
        <v>43461</v>
      </c>
      <c r="E28" s="157">
        <v>43461</v>
      </c>
      <c r="F28" s="158"/>
      <c r="G28" s="159">
        <f t="shared" si="0"/>
        <v>0</v>
      </c>
      <c r="H28" s="160">
        <f t="shared" si="1"/>
        <v>0</v>
      </c>
      <c r="I28" s="172">
        <f>IF(ISBLANK(A28),"",VLOOKUP(A28,gsrates!$A$3:$AQ$39,VLOOKUP($B$5,gsrates!$A$42:$C$62,2,FALSE),FALSE))</f>
        <v>325</v>
      </c>
      <c r="J28" s="79">
        <f t="shared" si="2"/>
        <v>0</v>
      </c>
      <c r="K28" s="203">
        <f>IF(ISBLANK(A28),"",VLOOKUP(A28,gsrates!$A$3:$AQ$39,VLOOKUP($B$5,gsrates!$A$42:$C$62,3,FALSE),FALSE))</f>
        <v>117</v>
      </c>
      <c r="L28" s="203">
        <f t="shared" si="3"/>
        <v>0</v>
      </c>
      <c r="M28" s="79">
        <f t="shared" si="4"/>
        <v>0</v>
      </c>
      <c r="N28" s="173">
        <v>0</v>
      </c>
      <c r="O28" s="203">
        <f t="shared" si="5"/>
        <v>0</v>
      </c>
      <c r="P28" s="79">
        <f t="shared" si="6"/>
        <v>0</v>
      </c>
      <c r="Q28" s="151" t="e">
        <f t="shared" si="7"/>
        <v>#DIV/0!</v>
      </c>
      <c r="R28" s="258"/>
      <c r="S28" s="41"/>
    </row>
    <row r="29" spans="1:20" outlineLevel="1" x14ac:dyDescent="0.2">
      <c r="A29" s="156" t="s">
        <v>220</v>
      </c>
      <c r="B29" s="156"/>
      <c r="C29" s="86"/>
      <c r="D29" s="157">
        <v>43461</v>
      </c>
      <c r="E29" s="157">
        <v>43461</v>
      </c>
      <c r="F29" s="158"/>
      <c r="G29" s="159">
        <f t="shared" si="0"/>
        <v>0</v>
      </c>
      <c r="H29" s="160">
        <f t="shared" si="1"/>
        <v>0</v>
      </c>
      <c r="I29" s="172">
        <f>IF(ISBLANK(A29),"",VLOOKUP(A29,gsrates!$A$3:$AQ$39,VLOOKUP($B$5,gsrates!$A$42:$C$62,2,FALSE),FALSE))</f>
        <v>330</v>
      </c>
      <c r="J29" s="79">
        <f t="shared" si="2"/>
        <v>0</v>
      </c>
      <c r="K29" s="203">
        <f>IF(ISBLANK(A29),"",VLOOKUP(A29,gsrates!$A$3:$AQ$39,VLOOKUP($B$5,gsrates!$A$42:$C$62,3,FALSE),FALSE))</f>
        <v>134</v>
      </c>
      <c r="L29" s="203">
        <f t="shared" si="3"/>
        <v>0</v>
      </c>
      <c r="M29" s="79">
        <f t="shared" si="4"/>
        <v>0</v>
      </c>
      <c r="N29" s="173">
        <v>0</v>
      </c>
      <c r="O29" s="203">
        <f t="shared" si="5"/>
        <v>0</v>
      </c>
      <c r="P29" s="79">
        <f t="shared" si="6"/>
        <v>0</v>
      </c>
      <c r="Q29" s="151" t="e">
        <f t="shared" si="7"/>
        <v>#DIV/0!</v>
      </c>
      <c r="R29" s="258"/>
      <c r="S29" s="41"/>
    </row>
    <row r="30" spans="1:20" outlineLevel="1" x14ac:dyDescent="0.2">
      <c r="A30" s="156" t="s">
        <v>221</v>
      </c>
      <c r="B30" s="156"/>
      <c r="C30" s="86"/>
      <c r="D30" s="157">
        <v>43461</v>
      </c>
      <c r="E30" s="157">
        <v>43461</v>
      </c>
      <c r="F30" s="158"/>
      <c r="G30" s="159">
        <f t="shared" si="0"/>
        <v>0</v>
      </c>
      <c r="H30" s="160">
        <f t="shared" si="1"/>
        <v>0</v>
      </c>
      <c r="I30" s="172">
        <f>IF(ISBLANK(A30),"",VLOOKUP(A30,gsrates!$A$3:$AQ$39,VLOOKUP($B$5,gsrates!$A$42:$C$62,2,FALSE),FALSE))</f>
        <v>325</v>
      </c>
      <c r="J30" s="79">
        <f t="shared" si="2"/>
        <v>0</v>
      </c>
      <c r="K30" s="203">
        <f>IF(ISBLANK(A30),"",VLOOKUP(A30,gsrates!$A$3:$AQ$39,VLOOKUP($B$5,gsrates!$A$42:$C$62,3,FALSE),FALSE))</f>
        <v>129</v>
      </c>
      <c r="L30" s="203">
        <f t="shared" si="3"/>
        <v>0</v>
      </c>
      <c r="M30" s="79">
        <f t="shared" si="4"/>
        <v>0</v>
      </c>
      <c r="N30" s="173">
        <v>0</v>
      </c>
      <c r="O30" s="203">
        <f t="shared" si="5"/>
        <v>0</v>
      </c>
      <c r="P30" s="79">
        <f t="shared" si="6"/>
        <v>0</v>
      </c>
      <c r="Q30" s="151" t="e">
        <f t="shared" si="7"/>
        <v>#DIV/0!</v>
      </c>
      <c r="R30" s="258" t="str">
        <f t="shared" si="9"/>
        <v/>
      </c>
      <c r="S30" s="41"/>
      <c r="T30" s="41" t="str">
        <f>IF(ISBLANK(A30),"",CONCATENATE(C30,"-",$B$5))</f>
        <v>-NA</v>
      </c>
    </row>
    <row r="31" spans="1:20" outlineLevel="1" x14ac:dyDescent="0.2">
      <c r="A31" s="156" t="s">
        <v>222</v>
      </c>
      <c r="B31" s="156"/>
      <c r="C31" s="86"/>
      <c r="D31" s="157">
        <v>43461</v>
      </c>
      <c r="E31" s="157">
        <v>43461</v>
      </c>
      <c r="F31" s="158"/>
      <c r="G31" s="159">
        <f t="shared" si="0"/>
        <v>0</v>
      </c>
      <c r="H31" s="160">
        <f t="shared" si="1"/>
        <v>0</v>
      </c>
      <c r="I31" s="172">
        <f>IF(ISBLANK(A31),"",VLOOKUP(A31,gsrates!$A$3:$AQ$39,VLOOKUP($B$5,gsrates!$A$42:$C$62,2,FALSE),FALSE))</f>
        <v>325</v>
      </c>
      <c r="J31" s="79">
        <f t="shared" si="2"/>
        <v>0</v>
      </c>
      <c r="K31" s="203">
        <f>IF(ISBLANK(A31),"",VLOOKUP(A31,gsrates!$A$3:$AQ$39,VLOOKUP($B$5,gsrates!$A$42:$C$62,3,FALSE),FALSE))</f>
        <v>129</v>
      </c>
      <c r="L31" s="203">
        <f t="shared" si="3"/>
        <v>0</v>
      </c>
      <c r="M31" s="79">
        <f t="shared" si="4"/>
        <v>0</v>
      </c>
      <c r="N31" s="173">
        <v>0</v>
      </c>
      <c r="O31" s="203">
        <f t="shared" si="5"/>
        <v>0</v>
      </c>
      <c r="P31" s="79">
        <f t="shared" si="6"/>
        <v>0</v>
      </c>
      <c r="Q31" s="151" t="e">
        <f t="shared" si="7"/>
        <v>#DIV/0!</v>
      </c>
      <c r="R31" s="258"/>
      <c r="S31" s="203"/>
    </row>
    <row r="32" spans="1:20" outlineLevel="1" x14ac:dyDescent="0.2">
      <c r="A32" s="156" t="s">
        <v>223</v>
      </c>
      <c r="B32" s="156"/>
      <c r="C32" s="86"/>
      <c r="D32" s="157">
        <v>43461</v>
      </c>
      <c r="E32" s="157">
        <v>43461</v>
      </c>
      <c r="F32" s="158"/>
      <c r="G32" s="159">
        <f t="shared" ref="G32:G45" si="10">IF(ISBLANK(A32),"",NETWORKDAYS(D32,E32)*F32)</f>
        <v>0</v>
      </c>
      <c r="H32" s="160">
        <f t="shared" ref="H32:H45" si="11">IF(ISBLANK(A32),"",G32*$B$9)</f>
        <v>0</v>
      </c>
      <c r="I32" s="172">
        <f>IF(ISBLANK(A32),"",VLOOKUP(A32,gsrates!$A$3:$AQ$39,VLOOKUP($B$5,gsrates!$A$42:$C$62,2,FALSE),FALSE))</f>
        <v>325</v>
      </c>
      <c r="J32" s="79">
        <f t="shared" ref="J32:J45" si="12">IF(ISBLANK(A32),"",H32*I32)</f>
        <v>0</v>
      </c>
      <c r="K32" s="203">
        <f>IF(ISBLANK(A32),"",VLOOKUP(A32,gsrates!$A$3:$AQ$39,VLOOKUP($B$5,gsrates!$A$42:$C$62,3,FALSE),FALSE))</f>
        <v>130</v>
      </c>
      <c r="L32" s="203">
        <f t="shared" ref="L32:L45" si="13">IF(ISBLANK(A32),"",K32*G32*8)</f>
        <v>0</v>
      </c>
      <c r="M32" s="79">
        <f t="shared" ref="M32:M45" si="14">IF(ISBLANK(A32),"",J32-L32)</f>
        <v>0</v>
      </c>
      <c r="N32" s="173">
        <v>0</v>
      </c>
      <c r="O32" s="203">
        <f t="shared" ref="O32:O45" si="15">IF(ISBLANK(A32),"",G32*N32*$B$9)</f>
        <v>0</v>
      </c>
      <c r="P32" s="79">
        <f t="shared" ref="P32:P45" si="16">IF(ISBLANK(A32),"",O32-L32)</f>
        <v>0</v>
      </c>
      <c r="Q32" s="151" t="e">
        <f t="shared" ref="Q32:Q45" si="17">IF(ISBLANK(A32),"",P32/O32)</f>
        <v>#DIV/0!</v>
      </c>
      <c r="R32" s="258" t="str">
        <f t="shared" si="9"/>
        <v/>
      </c>
      <c r="S32" s="41"/>
    </row>
    <row r="33" spans="1:147" outlineLevel="1" x14ac:dyDescent="0.2">
      <c r="A33" s="156" t="s">
        <v>224</v>
      </c>
      <c r="B33" s="156"/>
      <c r="C33" s="86"/>
      <c r="D33" s="157">
        <v>43461</v>
      </c>
      <c r="E33" s="157">
        <v>43461</v>
      </c>
      <c r="F33" s="158"/>
      <c r="G33" s="159">
        <f t="shared" si="10"/>
        <v>0</v>
      </c>
      <c r="H33" s="160">
        <f t="shared" si="11"/>
        <v>0</v>
      </c>
      <c r="I33" s="172">
        <f>IF(ISBLANK(A33),"",VLOOKUP(A33,gsrates!$A$3:$AQ$39,VLOOKUP($B$5,gsrates!$A$42:$C$62,2,FALSE),FALSE))</f>
        <v>325</v>
      </c>
      <c r="J33" s="79">
        <f t="shared" si="12"/>
        <v>0</v>
      </c>
      <c r="K33" s="203">
        <f>IF(ISBLANK(A33),"",VLOOKUP(A33,gsrates!$A$3:$AQ$39,VLOOKUP($B$5,gsrates!$A$42:$C$62,3,FALSE),FALSE))</f>
        <v>130</v>
      </c>
      <c r="L33" s="203">
        <f t="shared" si="13"/>
        <v>0</v>
      </c>
      <c r="M33" s="79">
        <f t="shared" si="14"/>
        <v>0</v>
      </c>
      <c r="N33" s="173">
        <v>0</v>
      </c>
      <c r="O33" s="203">
        <f t="shared" si="15"/>
        <v>0</v>
      </c>
      <c r="P33" s="79">
        <f t="shared" si="16"/>
        <v>0</v>
      </c>
      <c r="Q33" s="151" t="e">
        <f t="shared" si="17"/>
        <v>#DIV/0!</v>
      </c>
      <c r="R33" s="258"/>
      <c r="S33" s="41"/>
    </row>
    <row r="34" spans="1:147" outlineLevel="1" x14ac:dyDescent="0.2">
      <c r="A34" s="156" t="s">
        <v>225</v>
      </c>
      <c r="B34" s="156"/>
      <c r="C34" s="86"/>
      <c r="D34" s="157">
        <v>43461</v>
      </c>
      <c r="E34" s="157">
        <v>43461</v>
      </c>
      <c r="F34" s="158"/>
      <c r="G34" s="159">
        <f t="shared" si="10"/>
        <v>0</v>
      </c>
      <c r="H34" s="160">
        <f t="shared" si="11"/>
        <v>0</v>
      </c>
      <c r="I34" s="172">
        <f>IF(ISBLANK(A34),"",VLOOKUP(A34,gsrates!$A$3:$AQ$39,VLOOKUP($B$5,gsrates!$A$42:$C$62,2,FALSE),FALSE))</f>
        <v>325</v>
      </c>
      <c r="J34" s="79">
        <f t="shared" si="12"/>
        <v>0</v>
      </c>
      <c r="K34" s="203">
        <f>IF(ISBLANK(A34),"",VLOOKUP(A34,gsrates!$A$3:$AQ$39,VLOOKUP($B$5,gsrates!$A$42:$C$62,3,FALSE),FALSE))</f>
        <v>130</v>
      </c>
      <c r="L34" s="203">
        <f t="shared" si="13"/>
        <v>0</v>
      </c>
      <c r="M34" s="79">
        <f t="shared" si="14"/>
        <v>0</v>
      </c>
      <c r="N34" s="173">
        <v>0</v>
      </c>
      <c r="O34" s="203">
        <f t="shared" si="15"/>
        <v>0</v>
      </c>
      <c r="P34" s="79">
        <f t="shared" si="16"/>
        <v>0</v>
      </c>
      <c r="Q34" s="151" t="e">
        <f t="shared" si="17"/>
        <v>#DIV/0!</v>
      </c>
      <c r="R34" s="258"/>
      <c r="S34" s="41"/>
    </row>
    <row r="35" spans="1:147" outlineLevel="1" x14ac:dyDescent="0.2">
      <c r="A35" s="156" t="s">
        <v>226</v>
      </c>
      <c r="B35" s="156"/>
      <c r="C35" s="86"/>
      <c r="D35" s="157">
        <v>43461</v>
      </c>
      <c r="E35" s="157">
        <v>43461</v>
      </c>
      <c r="F35" s="158"/>
      <c r="G35" s="159">
        <f t="shared" si="10"/>
        <v>0</v>
      </c>
      <c r="H35" s="160">
        <f t="shared" si="11"/>
        <v>0</v>
      </c>
      <c r="I35" s="172">
        <f>IF(ISBLANK(A35),"",VLOOKUP(A35,gsrates!$A$3:$AQ$39,VLOOKUP($B$5,gsrates!$A$42:$C$62,2,FALSE),FALSE))</f>
        <v>325</v>
      </c>
      <c r="J35" s="79">
        <f t="shared" si="12"/>
        <v>0</v>
      </c>
      <c r="K35" s="203">
        <f>IF(ISBLANK(A35),"",VLOOKUP(A35,gsrates!$A$3:$AQ$39,VLOOKUP($B$5,gsrates!$A$42:$C$62,3,FALSE),FALSE))</f>
        <v>60</v>
      </c>
      <c r="L35" s="203">
        <f t="shared" si="13"/>
        <v>0</v>
      </c>
      <c r="M35" s="79">
        <f t="shared" si="14"/>
        <v>0</v>
      </c>
      <c r="N35" s="173">
        <v>0</v>
      </c>
      <c r="O35" s="203">
        <f t="shared" si="15"/>
        <v>0</v>
      </c>
      <c r="P35" s="79">
        <f t="shared" si="16"/>
        <v>0</v>
      </c>
      <c r="Q35" s="151" t="e">
        <f t="shared" si="17"/>
        <v>#DIV/0!</v>
      </c>
      <c r="R35" s="258" t="str">
        <f>IF(H35&gt;0,1-O35/J35,"")</f>
        <v/>
      </c>
      <c r="S35" s="41"/>
    </row>
    <row r="36" spans="1:147" outlineLevel="1" x14ac:dyDescent="0.2">
      <c r="A36" s="156" t="s">
        <v>227</v>
      </c>
      <c r="B36" s="156"/>
      <c r="C36" s="86"/>
      <c r="D36" s="157">
        <v>43461</v>
      </c>
      <c r="E36" s="157">
        <v>43461</v>
      </c>
      <c r="F36" s="158"/>
      <c r="G36" s="159">
        <f t="shared" si="10"/>
        <v>0</v>
      </c>
      <c r="H36" s="160">
        <f t="shared" si="11"/>
        <v>0</v>
      </c>
      <c r="I36" s="172">
        <f>IF(ISBLANK(A36),"",VLOOKUP(A36,gsrates!$A$3:$AQ$39,VLOOKUP($B$5,gsrates!$A$42:$C$62,2,FALSE),FALSE))</f>
        <v>295</v>
      </c>
      <c r="J36" s="79">
        <f t="shared" si="12"/>
        <v>0</v>
      </c>
      <c r="K36" s="203">
        <f>IF(ISBLANK(A36),"",VLOOKUP(A36,gsrates!$A$3:$AQ$39,VLOOKUP($B$5,gsrates!$A$42:$C$62,3,FALSE),FALSE))</f>
        <v>50</v>
      </c>
      <c r="L36" s="203">
        <f t="shared" si="13"/>
        <v>0</v>
      </c>
      <c r="M36" s="79">
        <f t="shared" si="14"/>
        <v>0</v>
      </c>
      <c r="N36" s="173">
        <v>0</v>
      </c>
      <c r="O36" s="203">
        <f t="shared" si="15"/>
        <v>0</v>
      </c>
      <c r="P36" s="79">
        <f t="shared" si="16"/>
        <v>0</v>
      </c>
      <c r="Q36" s="151" t="e">
        <f t="shared" si="17"/>
        <v>#DIV/0!</v>
      </c>
      <c r="R36" s="258" t="str">
        <f t="shared" si="9"/>
        <v/>
      </c>
      <c r="S36" s="41"/>
    </row>
    <row r="37" spans="1:147" outlineLevel="1" x14ac:dyDescent="0.2">
      <c r="A37" s="156" t="s">
        <v>228</v>
      </c>
      <c r="B37" s="156"/>
      <c r="C37" s="86"/>
      <c r="D37" s="157">
        <v>43461</v>
      </c>
      <c r="E37" s="157">
        <v>43461</v>
      </c>
      <c r="F37" s="158"/>
      <c r="G37" s="159">
        <f t="shared" si="10"/>
        <v>0</v>
      </c>
      <c r="H37" s="160">
        <f t="shared" si="11"/>
        <v>0</v>
      </c>
      <c r="I37" s="172">
        <f>IF(ISBLANK(A37),"",VLOOKUP(A37,gsrates!$A$3:$AQ$39,VLOOKUP($B$5,gsrates!$A$42:$C$62,2,FALSE),FALSE))</f>
        <v>260</v>
      </c>
      <c r="J37" s="79">
        <f t="shared" si="12"/>
        <v>0</v>
      </c>
      <c r="K37" s="203">
        <f>IF(ISBLANK(A37),"",VLOOKUP(A37,gsrates!$A$3:$AQ$39,VLOOKUP($B$5,gsrates!$A$42:$C$62,3,FALSE),FALSE))</f>
        <v>36</v>
      </c>
      <c r="L37" s="203">
        <f t="shared" si="13"/>
        <v>0</v>
      </c>
      <c r="M37" s="79">
        <f t="shared" si="14"/>
        <v>0</v>
      </c>
      <c r="N37" s="173">
        <v>0</v>
      </c>
      <c r="O37" s="203">
        <f t="shared" si="15"/>
        <v>0</v>
      </c>
      <c r="P37" s="79">
        <f t="shared" si="16"/>
        <v>0</v>
      </c>
      <c r="Q37" s="151" t="e">
        <f t="shared" si="17"/>
        <v>#DIV/0!</v>
      </c>
      <c r="R37" s="258" t="str">
        <f t="shared" si="9"/>
        <v/>
      </c>
      <c r="S37" s="41"/>
    </row>
    <row r="38" spans="1:147" outlineLevel="1" x14ac:dyDescent="0.2">
      <c r="A38" s="156" t="s">
        <v>230</v>
      </c>
      <c r="B38" s="156"/>
      <c r="C38" s="86"/>
      <c r="D38" s="157">
        <v>43461</v>
      </c>
      <c r="E38" s="157">
        <v>43461</v>
      </c>
      <c r="F38" s="158"/>
      <c r="G38" s="159">
        <f t="shared" si="10"/>
        <v>0</v>
      </c>
      <c r="H38" s="160">
        <f t="shared" si="11"/>
        <v>0</v>
      </c>
      <c r="I38" s="172">
        <f>IF(ISBLANK(A38),"",VLOOKUP(A38,gsrates!$A$3:$AQ$39,VLOOKUP($B$5,gsrates!$A$42:$C$62,2,FALSE),FALSE))</f>
        <v>125</v>
      </c>
      <c r="J38" s="79">
        <f t="shared" si="12"/>
        <v>0</v>
      </c>
      <c r="K38" s="203">
        <f>IF(ISBLANK(A38),"",VLOOKUP(A38,gsrates!$A$3:$AQ$39,VLOOKUP($B$5,gsrates!$A$42:$C$62,3,FALSE),FALSE))</f>
        <v>60</v>
      </c>
      <c r="L38" s="203">
        <f t="shared" si="13"/>
        <v>0</v>
      </c>
      <c r="M38" s="79">
        <f t="shared" si="14"/>
        <v>0</v>
      </c>
      <c r="N38" s="173">
        <v>0</v>
      </c>
      <c r="O38" s="203">
        <f t="shared" si="15"/>
        <v>0</v>
      </c>
      <c r="P38" s="79">
        <f t="shared" si="16"/>
        <v>0</v>
      </c>
      <c r="Q38" s="151" t="e">
        <f t="shared" si="17"/>
        <v>#DIV/0!</v>
      </c>
      <c r="R38" s="258" t="str">
        <f t="shared" si="9"/>
        <v/>
      </c>
      <c r="S38" s="41"/>
    </row>
    <row r="39" spans="1:147" outlineLevel="1" x14ac:dyDescent="0.2">
      <c r="A39" s="156" t="s">
        <v>231</v>
      </c>
      <c r="B39" s="156"/>
      <c r="C39" s="86"/>
      <c r="D39" s="157">
        <v>43461</v>
      </c>
      <c r="E39" s="157">
        <v>43461</v>
      </c>
      <c r="F39" s="158"/>
      <c r="G39" s="159">
        <f t="shared" si="10"/>
        <v>0</v>
      </c>
      <c r="H39" s="160">
        <f t="shared" si="11"/>
        <v>0</v>
      </c>
      <c r="I39" s="172">
        <f>IF(ISBLANK(A39),"",VLOOKUP(A39,gsrates!$A$3:$AQ$39,VLOOKUP($B$5,gsrates!$A$42:$C$62,2,FALSE),FALSE))</f>
        <v>100</v>
      </c>
      <c r="J39" s="79">
        <f t="shared" si="12"/>
        <v>0</v>
      </c>
      <c r="K39" s="203">
        <f>IF(ISBLANK(A39),"",VLOOKUP(A39,gsrates!$A$3:$AQ$39,VLOOKUP($B$5,gsrates!$A$42:$C$62,3,FALSE),FALSE))</f>
        <v>50</v>
      </c>
      <c r="L39" s="203">
        <f t="shared" si="13"/>
        <v>0</v>
      </c>
      <c r="M39" s="79">
        <f t="shared" si="14"/>
        <v>0</v>
      </c>
      <c r="N39" s="173">
        <v>0</v>
      </c>
      <c r="O39" s="203">
        <f t="shared" si="15"/>
        <v>0</v>
      </c>
      <c r="P39" s="79">
        <f t="shared" si="16"/>
        <v>0</v>
      </c>
      <c r="Q39" s="151" t="e">
        <f t="shared" si="17"/>
        <v>#DIV/0!</v>
      </c>
      <c r="R39" s="258" t="str">
        <f t="shared" si="9"/>
        <v/>
      </c>
      <c r="S39" s="41"/>
    </row>
    <row r="40" spans="1:147" outlineLevel="1" x14ac:dyDescent="0.2">
      <c r="A40" s="156" t="s">
        <v>232</v>
      </c>
      <c r="B40" s="156"/>
      <c r="C40" s="86"/>
      <c r="D40" s="157">
        <v>43461</v>
      </c>
      <c r="E40" s="157">
        <v>43461</v>
      </c>
      <c r="F40" s="158"/>
      <c r="G40" s="159">
        <f t="shared" si="10"/>
        <v>0</v>
      </c>
      <c r="H40" s="160">
        <f t="shared" si="11"/>
        <v>0</v>
      </c>
      <c r="I40" s="172">
        <f>IF(ISBLANK(A40),"",VLOOKUP(A40,gsrates!$A$3:$AQ$39,VLOOKUP($B$5,gsrates!$A$42:$C$62,2,FALSE),FALSE))</f>
        <v>70</v>
      </c>
      <c r="J40" s="79">
        <f t="shared" si="12"/>
        <v>0</v>
      </c>
      <c r="K40" s="203">
        <f>IF(ISBLANK(A40),"",VLOOKUP(A40,gsrates!$A$3:$AQ$39,VLOOKUP($B$5,gsrates!$A$42:$C$62,3,FALSE),FALSE))</f>
        <v>36</v>
      </c>
      <c r="L40" s="203">
        <f t="shared" si="13"/>
        <v>0</v>
      </c>
      <c r="M40" s="79">
        <f t="shared" si="14"/>
        <v>0</v>
      </c>
      <c r="N40" s="173">
        <v>0</v>
      </c>
      <c r="O40" s="203">
        <f t="shared" si="15"/>
        <v>0</v>
      </c>
      <c r="P40" s="79">
        <f t="shared" si="16"/>
        <v>0</v>
      </c>
      <c r="Q40" s="151" t="e">
        <f t="shared" si="17"/>
        <v>#DIV/0!</v>
      </c>
      <c r="R40" s="258" t="str">
        <f t="shared" si="9"/>
        <v/>
      </c>
      <c r="S40" s="41"/>
    </row>
    <row r="41" spans="1:147" outlineLevel="1" x14ac:dyDescent="0.2">
      <c r="A41" s="156" t="s">
        <v>234</v>
      </c>
      <c r="B41" s="156"/>
      <c r="C41" s="86"/>
      <c r="D41" s="157">
        <v>43461</v>
      </c>
      <c r="E41" s="157">
        <v>43461</v>
      </c>
      <c r="F41" s="158"/>
      <c r="G41" s="159">
        <f t="shared" si="10"/>
        <v>0</v>
      </c>
      <c r="H41" s="160">
        <f t="shared" si="11"/>
        <v>0</v>
      </c>
      <c r="I41" s="172">
        <f>IF(ISBLANK(A41),"",VLOOKUP(A41,gsrates!$A$3:$AQ$39,VLOOKUP($B$5,gsrates!$A$42:$C$62,2,FALSE),FALSE))</f>
        <v>90</v>
      </c>
      <c r="J41" s="79">
        <f t="shared" si="12"/>
        <v>0</v>
      </c>
      <c r="K41" s="203">
        <f>IF(ISBLANK(A41),"",VLOOKUP(A41,gsrates!$A$3:$AQ$39,VLOOKUP($B$5,gsrates!$A$42:$C$62,3,FALSE),FALSE))</f>
        <v>65</v>
      </c>
      <c r="L41" s="203">
        <f t="shared" si="13"/>
        <v>0</v>
      </c>
      <c r="M41" s="79">
        <f t="shared" si="14"/>
        <v>0</v>
      </c>
      <c r="N41" s="173">
        <v>0</v>
      </c>
      <c r="O41" s="203">
        <f t="shared" si="15"/>
        <v>0</v>
      </c>
      <c r="P41" s="79">
        <f t="shared" si="16"/>
        <v>0</v>
      </c>
      <c r="Q41" s="151" t="e">
        <f t="shared" si="17"/>
        <v>#DIV/0!</v>
      </c>
      <c r="R41" s="258" t="str">
        <f t="shared" si="9"/>
        <v/>
      </c>
      <c r="S41" s="41"/>
    </row>
    <row r="42" spans="1:147" outlineLevel="1" x14ac:dyDescent="0.2">
      <c r="A42" s="156" t="s">
        <v>235</v>
      </c>
      <c r="B42" s="156"/>
      <c r="C42" s="86"/>
      <c r="D42" s="157">
        <v>43461</v>
      </c>
      <c r="E42" s="157">
        <v>43461</v>
      </c>
      <c r="F42" s="158"/>
      <c r="G42" s="159">
        <f t="shared" si="10"/>
        <v>0</v>
      </c>
      <c r="H42" s="160">
        <f t="shared" si="11"/>
        <v>0</v>
      </c>
      <c r="I42" s="172">
        <f>IF(ISBLANK(A42),"",VLOOKUP(A42,gsrates!$A$3:$AQ$39,VLOOKUP($B$5,gsrates!$A$42:$C$62,2,FALSE),FALSE))</f>
        <v>55</v>
      </c>
      <c r="J42" s="79">
        <f t="shared" si="12"/>
        <v>0</v>
      </c>
      <c r="K42" s="203">
        <f>IF(ISBLANK(A42),"",VLOOKUP(A42,gsrates!$A$3:$AQ$39,VLOOKUP($B$5,gsrates!$A$42:$C$62,3,FALSE),FALSE))</f>
        <v>21</v>
      </c>
      <c r="L42" s="203">
        <f t="shared" si="13"/>
        <v>0</v>
      </c>
      <c r="M42" s="79">
        <f t="shared" si="14"/>
        <v>0</v>
      </c>
      <c r="N42" s="173">
        <v>0</v>
      </c>
      <c r="O42" s="203">
        <f t="shared" si="15"/>
        <v>0</v>
      </c>
      <c r="P42" s="79">
        <f t="shared" si="16"/>
        <v>0</v>
      </c>
      <c r="Q42" s="151" t="e">
        <f t="shared" si="17"/>
        <v>#DIV/0!</v>
      </c>
      <c r="R42" s="258" t="str">
        <f t="shared" si="9"/>
        <v/>
      </c>
      <c r="S42" s="41"/>
    </row>
    <row r="43" spans="1:147" outlineLevel="1" x14ac:dyDescent="0.2">
      <c r="A43" s="156" t="s">
        <v>236</v>
      </c>
      <c r="B43" s="156"/>
      <c r="C43" s="86"/>
      <c r="D43" s="157">
        <v>43461</v>
      </c>
      <c r="E43" s="157">
        <v>43461</v>
      </c>
      <c r="F43" s="158"/>
      <c r="G43" s="159">
        <f t="shared" si="10"/>
        <v>0</v>
      </c>
      <c r="H43" s="160">
        <f t="shared" si="11"/>
        <v>0</v>
      </c>
      <c r="I43" s="172">
        <f>IF(ISBLANK(A43),"",VLOOKUP(A43,gsrates!$A$3:$AQ$39,VLOOKUP($B$5,gsrates!$A$42:$C$62,2,FALSE),FALSE))</f>
        <v>75</v>
      </c>
      <c r="J43" s="79">
        <f t="shared" si="12"/>
        <v>0</v>
      </c>
      <c r="K43" s="203">
        <f>IF(ISBLANK(A43),"",VLOOKUP(A43,gsrates!$A$3:$AQ$39,VLOOKUP($B$5,gsrates!$A$42:$C$62,3,FALSE),FALSE))</f>
        <v>42</v>
      </c>
      <c r="L43" s="203">
        <f t="shared" si="13"/>
        <v>0</v>
      </c>
      <c r="M43" s="79">
        <f t="shared" si="14"/>
        <v>0</v>
      </c>
      <c r="N43" s="173">
        <v>0</v>
      </c>
      <c r="O43" s="203">
        <f t="shared" si="15"/>
        <v>0</v>
      </c>
      <c r="P43" s="79">
        <f t="shared" si="16"/>
        <v>0</v>
      </c>
      <c r="Q43" s="151" t="e">
        <f t="shared" si="17"/>
        <v>#DIV/0!</v>
      </c>
      <c r="R43" s="258" t="str">
        <f t="shared" si="9"/>
        <v/>
      </c>
      <c r="S43" s="41"/>
    </row>
    <row r="44" spans="1:147" outlineLevel="1" x14ac:dyDescent="0.2">
      <c r="A44" s="156" t="s">
        <v>237</v>
      </c>
      <c r="B44" s="156"/>
      <c r="C44" s="86"/>
      <c r="D44" s="157">
        <v>43461</v>
      </c>
      <c r="E44" s="157">
        <v>43461</v>
      </c>
      <c r="F44" s="158"/>
      <c r="G44" s="159">
        <f t="shared" si="10"/>
        <v>0</v>
      </c>
      <c r="H44" s="160">
        <f t="shared" si="11"/>
        <v>0</v>
      </c>
      <c r="I44" s="172">
        <f>IF(ISBLANK(A44),"",VLOOKUP(A44,gsrates!$A$3:$AQ$39,VLOOKUP($B$5,gsrates!$A$42:$C$62,2,FALSE),FALSE))</f>
        <v>55</v>
      </c>
      <c r="J44" s="79">
        <f t="shared" si="12"/>
        <v>0</v>
      </c>
      <c r="K44" s="203">
        <f>IF(ISBLANK(A44),"",VLOOKUP(A44,gsrates!$A$3:$AQ$39,VLOOKUP($B$5,gsrates!$A$42:$C$62,3,FALSE),FALSE))</f>
        <v>23</v>
      </c>
      <c r="L44" s="203">
        <f t="shared" si="13"/>
        <v>0</v>
      </c>
      <c r="M44" s="79">
        <f t="shared" si="14"/>
        <v>0</v>
      </c>
      <c r="N44" s="173">
        <v>0</v>
      </c>
      <c r="O44" s="203">
        <f t="shared" si="15"/>
        <v>0</v>
      </c>
      <c r="P44" s="79">
        <f t="shared" si="16"/>
        <v>0</v>
      </c>
      <c r="Q44" s="151" t="e">
        <f t="shared" si="17"/>
        <v>#DIV/0!</v>
      </c>
      <c r="R44" s="258" t="str">
        <f t="shared" si="9"/>
        <v/>
      </c>
      <c r="S44" s="41"/>
    </row>
    <row r="45" spans="1:147" outlineLevel="1" x14ac:dyDescent="0.2">
      <c r="A45" s="156" t="s">
        <v>238</v>
      </c>
      <c r="B45" s="156"/>
      <c r="C45" s="86"/>
      <c r="D45" s="157">
        <v>43461</v>
      </c>
      <c r="E45" s="157">
        <v>43461</v>
      </c>
      <c r="F45" s="158"/>
      <c r="G45" s="159">
        <f t="shared" si="10"/>
        <v>0</v>
      </c>
      <c r="H45" s="160">
        <f t="shared" si="11"/>
        <v>0</v>
      </c>
      <c r="I45" s="172">
        <f>IF(ISBLANK(A45),"",VLOOKUP(A45,gsrates!$A$3:$AQ$39,VLOOKUP($B$5,gsrates!$A$42:$C$62,2,FALSE),FALSE))</f>
        <v>35</v>
      </c>
      <c r="J45" s="79">
        <f t="shared" si="12"/>
        <v>0</v>
      </c>
      <c r="K45" s="203">
        <f>IF(ISBLANK(A45),"",VLOOKUP(A45,gsrates!$A$3:$AQ$39,VLOOKUP($B$5,gsrates!$A$42:$C$62,3,FALSE),FALSE))</f>
        <v>13</v>
      </c>
      <c r="L45" s="203">
        <f t="shared" si="13"/>
        <v>0</v>
      </c>
      <c r="M45" s="79">
        <f t="shared" si="14"/>
        <v>0</v>
      </c>
      <c r="N45" s="173">
        <v>0</v>
      </c>
      <c r="O45" s="203">
        <f t="shared" si="15"/>
        <v>0</v>
      </c>
      <c r="P45" s="79">
        <f t="shared" si="16"/>
        <v>0</v>
      </c>
      <c r="Q45" s="151" t="e">
        <f t="shared" si="17"/>
        <v>#DIV/0!</v>
      </c>
      <c r="R45" s="258" t="str">
        <f t="shared" si="9"/>
        <v/>
      </c>
      <c r="S45" s="41"/>
    </row>
    <row r="46" spans="1:147" outlineLevel="1" x14ac:dyDescent="0.2">
      <c r="A46" s="156" t="s">
        <v>239</v>
      </c>
      <c r="B46" s="156"/>
      <c r="C46" s="86"/>
      <c r="D46" s="157">
        <v>43461</v>
      </c>
      <c r="E46" s="157">
        <v>43461</v>
      </c>
      <c r="F46" s="158"/>
      <c r="G46" s="159">
        <f>IF(ISBLANK(A46),"",NETWORKDAYS(D46,E46)*F46)</f>
        <v>0</v>
      </c>
      <c r="H46" s="160">
        <f>IF(ISBLANK(A46),"",G46*$B$9)</f>
        <v>0</v>
      </c>
      <c r="I46" s="172">
        <f>IF(ISBLANK(A46),"",VLOOKUP(A46,gsrates!$A$3:$AQ$39,VLOOKUP($B$5,gsrates!$A$42:$C$62,2,FALSE),FALSE))</f>
        <v>30</v>
      </c>
      <c r="J46" s="79">
        <f>IF(ISBLANK(A46),"",H46*I46)</f>
        <v>0</v>
      </c>
      <c r="K46" s="203">
        <f>IF(ISBLANK(A46),"",VLOOKUP(A46,gsrates!$A$3:$AQ$39,VLOOKUP($B$5,gsrates!$A$42:$C$62,3,FALSE),FALSE))</f>
        <v>8</v>
      </c>
      <c r="L46" s="203">
        <f>IF(ISBLANK(A46),"",K46*G46*8)</f>
        <v>0</v>
      </c>
      <c r="M46" s="79">
        <f>IF(ISBLANK(A46),"",J46-L46)</f>
        <v>0</v>
      </c>
      <c r="N46" s="173">
        <v>0</v>
      </c>
      <c r="O46" s="203">
        <f>IF(ISBLANK(A46),"",G46*N46*$B$9)</f>
        <v>0</v>
      </c>
      <c r="P46" s="79">
        <f>IF(ISBLANK(A46),"",O46-L46)</f>
        <v>0</v>
      </c>
      <c r="Q46" s="151" t="e">
        <f>IF(ISBLANK(A46),"",P46/O46)</f>
        <v>#DIV/0!</v>
      </c>
      <c r="R46" s="258" t="str">
        <f t="shared" si="9"/>
        <v/>
      </c>
      <c r="S46" s="41"/>
    </row>
    <row r="47" spans="1:147" s="11" customFormat="1" ht="13.5" outlineLevel="1" thickBot="1" x14ac:dyDescent="0.25">
      <c r="A47" s="163" t="s">
        <v>240</v>
      </c>
      <c r="B47" s="163"/>
      <c r="C47" s="163"/>
      <c r="D47" s="164">
        <v>43461</v>
      </c>
      <c r="E47" s="164">
        <v>43461</v>
      </c>
      <c r="F47" s="165"/>
      <c r="G47" s="166">
        <f>IF(ISBLANK(A47),"",NETWORKDAYS(D47,E47)*F47)</f>
        <v>0</v>
      </c>
      <c r="H47" s="167">
        <f>IF(ISBLANK(A47),"",G47*$B$9)</f>
        <v>0</v>
      </c>
      <c r="I47" s="174">
        <f>IF(ISBLANK(A47),"",VLOOKUP(A47,gsrates!$A$3:$AQ$39,VLOOKUP($B$5,gsrates!$A$42:$C$62,2,FALSE),FALSE))</f>
        <v>75</v>
      </c>
      <c r="J47" s="81">
        <f>IF(ISBLANK(A47),"",H47*I47)</f>
        <v>0</v>
      </c>
      <c r="K47" s="204">
        <f>IF(ISBLANK(A47),"",VLOOKUP(A47,gsrates!$A$3:$AQ$39,VLOOKUP($B$5,gsrates!$A$42:$C$62,3,FALSE),FALSE))</f>
        <v>21</v>
      </c>
      <c r="L47" s="204">
        <f>IF(ISBLANK(A47),"",K47*G47*8)</f>
        <v>0</v>
      </c>
      <c r="M47" s="81">
        <f>IF(ISBLANK(A47),"",J47-L47)</f>
        <v>0</v>
      </c>
      <c r="N47" s="171">
        <v>0</v>
      </c>
      <c r="O47" s="204">
        <f>IF(ISBLANK(A47),"",G47*N47*$B$9)</f>
        <v>0</v>
      </c>
      <c r="P47" s="81">
        <f>IF(ISBLANK(A47),"",O47-L47)</f>
        <v>0</v>
      </c>
      <c r="Q47" s="154" t="e">
        <f>IF(ISBLANK(A47),"",P47/O47)</f>
        <v>#DIV/0!</v>
      </c>
      <c r="R47" s="259" t="str">
        <f>IF(H47&gt;0,1-O47/J47,"")</f>
        <v/>
      </c>
      <c r="S47" s="170"/>
      <c r="T47" s="41" t="str">
        <f>IF(ISBLANK(A47),"",CONCATENATE(C47,"-",$B$5))</f>
        <v>-NA</v>
      </c>
      <c r="U47" s="41"/>
      <c r="V47" s="41"/>
      <c r="W47" s="41"/>
      <c r="X47" s="41"/>
      <c r="Y47" s="41"/>
      <c r="Z47" s="41"/>
      <c r="AA47" s="41"/>
      <c r="AB47" s="41"/>
      <c r="AC47" s="41"/>
      <c r="AD47" s="41"/>
      <c r="AE47" s="41"/>
      <c r="AF47" s="41"/>
      <c r="AG47" s="41"/>
      <c r="AH47" s="41"/>
      <c r="AI47" s="41"/>
      <c r="AJ47" s="41"/>
      <c r="AK47" s="41"/>
      <c r="AL47" s="41"/>
      <c r="AM47" s="41"/>
      <c r="AN47" s="41"/>
      <c r="AO47" s="41"/>
      <c r="AP47" s="41"/>
      <c r="AQ47" s="41"/>
      <c r="AR47" s="41"/>
      <c r="AS47" s="41"/>
      <c r="AT47" s="41"/>
      <c r="AU47" s="41"/>
      <c r="AV47" s="41"/>
      <c r="AW47" s="41"/>
      <c r="AX47" s="41"/>
      <c r="AY47" s="41"/>
      <c r="AZ47" s="41"/>
      <c r="BA47" s="41"/>
      <c r="BB47" s="41"/>
      <c r="BC47" s="41"/>
      <c r="BD47" s="41"/>
      <c r="BE47" s="41"/>
      <c r="BF47" s="41"/>
      <c r="BG47" s="41"/>
      <c r="BH47" s="41"/>
      <c r="BI47" s="41"/>
      <c r="BJ47" s="41"/>
      <c r="BK47" s="41"/>
      <c r="BL47" s="41"/>
      <c r="BM47" s="41"/>
      <c r="BN47" s="41"/>
      <c r="BO47" s="41"/>
      <c r="BP47" s="41"/>
      <c r="BQ47" s="41"/>
      <c r="BR47" s="41"/>
      <c r="BS47" s="41"/>
      <c r="BT47" s="41"/>
      <c r="BU47" s="41"/>
      <c r="BV47" s="41"/>
      <c r="BW47" s="41"/>
      <c r="BX47" s="41"/>
      <c r="BY47" s="41"/>
      <c r="BZ47" s="41"/>
      <c r="CA47" s="41"/>
      <c r="CB47" s="41"/>
      <c r="CC47" s="41"/>
      <c r="CD47" s="41"/>
      <c r="CE47" s="41"/>
      <c r="CF47" s="41"/>
      <c r="CG47" s="41"/>
      <c r="CH47" s="41"/>
      <c r="CI47" s="41"/>
      <c r="CJ47" s="41"/>
      <c r="CK47" s="41"/>
      <c r="CL47" s="41"/>
      <c r="CM47" s="41"/>
      <c r="CN47" s="41"/>
      <c r="CO47" s="41"/>
      <c r="CP47" s="41"/>
      <c r="CQ47" s="41"/>
      <c r="CR47" s="41"/>
      <c r="CS47" s="41"/>
      <c r="CT47" s="41"/>
      <c r="CU47" s="41"/>
      <c r="CV47" s="41"/>
      <c r="CW47" s="41"/>
      <c r="CX47" s="41"/>
      <c r="CY47" s="41"/>
      <c r="CZ47" s="41"/>
      <c r="DA47" s="41"/>
      <c r="DB47" s="41"/>
      <c r="DC47" s="41"/>
      <c r="DD47" s="41"/>
      <c r="DE47" s="41"/>
      <c r="DF47" s="41"/>
      <c r="DG47" s="41"/>
      <c r="DH47" s="41"/>
      <c r="DI47" s="41"/>
      <c r="DJ47" s="41"/>
      <c r="DK47" s="41"/>
      <c r="DL47" s="41"/>
      <c r="DM47" s="41"/>
      <c r="DN47" s="41"/>
      <c r="DO47" s="41"/>
      <c r="DP47" s="41"/>
      <c r="DQ47" s="41"/>
      <c r="DR47" s="41"/>
      <c r="DS47" s="41"/>
      <c r="DT47" s="41"/>
      <c r="DU47" s="41"/>
      <c r="DV47" s="41"/>
      <c r="DW47" s="41"/>
      <c r="DX47" s="41"/>
      <c r="DY47" s="41"/>
      <c r="DZ47" s="41"/>
      <c r="EA47" s="41"/>
      <c r="EB47" s="41"/>
      <c r="EC47" s="41"/>
      <c r="ED47" s="41"/>
      <c r="EE47" s="41"/>
      <c r="EF47" s="41"/>
      <c r="EG47" s="41"/>
      <c r="EH47" s="41"/>
      <c r="EI47" s="41"/>
      <c r="EJ47" s="41"/>
      <c r="EK47" s="41"/>
      <c r="EL47" s="41"/>
      <c r="EM47" s="41"/>
      <c r="EN47" s="41"/>
      <c r="EO47" s="41"/>
      <c r="EP47" s="41"/>
      <c r="EQ47" s="41"/>
    </row>
    <row r="48" spans="1:147" x14ac:dyDescent="0.2">
      <c r="A48" s="466" t="s">
        <v>11</v>
      </c>
      <c r="B48" s="466"/>
      <c r="C48" s="230"/>
      <c r="D48" s="7"/>
      <c r="E48" s="7"/>
      <c r="F48" s="8"/>
      <c r="G48" s="9">
        <f>SUM(G14:G47)</f>
        <v>0</v>
      </c>
      <c r="H48" s="9">
        <f>SUM(H14:H47)</f>
        <v>0</v>
      </c>
      <c r="I48" s="31"/>
      <c r="J48" s="36">
        <f>SUM(J14:J47)</f>
        <v>0</v>
      </c>
      <c r="K48" s="205"/>
      <c r="L48" s="205">
        <f>SUM(L14:L47)</f>
        <v>0</v>
      </c>
      <c r="M48" s="36">
        <f>SUM(M14:M47)</f>
        <v>0</v>
      </c>
      <c r="N48" s="33"/>
      <c r="O48" s="205">
        <f>SUM(O14:O47)</f>
        <v>0</v>
      </c>
      <c r="P48" s="36">
        <f>SUM(P14:P47)</f>
        <v>0</v>
      </c>
      <c r="Q48" s="15" t="str">
        <f>IF(G48=0,"",P48/O48)</f>
        <v/>
      </c>
      <c r="R48" s="260"/>
    </row>
    <row r="49" spans="1:147" x14ac:dyDescent="0.2">
      <c r="D49" s="7"/>
      <c r="E49" s="7"/>
      <c r="F49" s="8"/>
      <c r="G49" s="9"/>
      <c r="H49" s="9"/>
      <c r="I49" s="31"/>
      <c r="J49" s="36"/>
      <c r="K49" s="205"/>
      <c r="L49" s="205"/>
      <c r="M49" s="36"/>
      <c r="N49" s="33"/>
      <c r="O49" s="205"/>
      <c r="P49" s="36"/>
      <c r="Q49" s="10"/>
      <c r="R49" s="260"/>
    </row>
    <row r="50" spans="1:147" outlineLevel="1" x14ac:dyDescent="0.2">
      <c r="B50" s="3"/>
      <c r="C50" s="3"/>
      <c r="D50" s="5"/>
      <c r="E50" s="5"/>
      <c r="F50" s="5"/>
      <c r="G50" s="6"/>
      <c r="H50" s="117"/>
      <c r="I50" s="34"/>
      <c r="J50" s="38"/>
      <c r="K50" s="206"/>
      <c r="L50" s="206"/>
      <c r="M50" s="38"/>
      <c r="N50" s="34"/>
      <c r="O50" s="206"/>
      <c r="P50" s="38"/>
      <c r="Q50" s="6"/>
      <c r="R50" s="256"/>
    </row>
    <row r="51" spans="1:147" outlineLevel="1" x14ac:dyDescent="0.2">
      <c r="A51" s="12" t="s">
        <v>12</v>
      </c>
      <c r="B51" s="12" t="s">
        <v>53</v>
      </c>
      <c r="C51" s="12"/>
      <c r="D51" s="13" t="s">
        <v>54</v>
      </c>
      <c r="E51" s="13" t="s">
        <v>55</v>
      </c>
      <c r="F51" s="13" t="s">
        <v>7</v>
      </c>
      <c r="G51" s="13" t="s">
        <v>20</v>
      </c>
      <c r="H51" s="118" t="s">
        <v>78</v>
      </c>
      <c r="I51" s="40" t="s">
        <v>10</v>
      </c>
      <c r="J51" s="13" t="s">
        <v>56</v>
      </c>
      <c r="K51" s="202" t="s">
        <v>57</v>
      </c>
      <c r="L51" s="214" t="s">
        <v>31</v>
      </c>
      <c r="M51" s="39" t="s">
        <v>21</v>
      </c>
      <c r="N51" s="35" t="s">
        <v>22</v>
      </c>
      <c r="O51" s="214" t="s">
        <v>58</v>
      </c>
      <c r="P51" s="13" t="s">
        <v>32</v>
      </c>
      <c r="Q51" s="13" t="s">
        <v>23</v>
      </c>
      <c r="R51" s="257"/>
    </row>
    <row r="52" spans="1:147" outlineLevel="1" x14ac:dyDescent="0.2">
      <c r="A52" s="86"/>
      <c r="B52" s="86"/>
      <c r="C52" s="86"/>
      <c r="D52" s="87"/>
      <c r="E52" s="87"/>
      <c r="F52" s="158"/>
      <c r="G52" s="9" t="str">
        <f t="shared" ref="G52:G58" si="18">IF(ISBLANK(A52),"",NETWORKDAYS(D52,E52)*F52)</f>
        <v/>
      </c>
      <c r="H52" s="119" t="str">
        <f t="shared" ref="H52:H58" si="19">IF(ISBLANK(A52),"",G52*$B$9)</f>
        <v/>
      </c>
      <c r="I52" s="89"/>
      <c r="J52" s="36" t="str">
        <f t="shared" ref="J52:J58" si="20">IF(ISBLANK(A52),"",H52*I52)</f>
        <v/>
      </c>
      <c r="K52" s="207"/>
      <c r="L52" s="215" t="str">
        <f t="shared" ref="L52:L58" si="21">IF(ISBLANK(A52)," ",(K52*G52*$B$9))</f>
        <v xml:space="preserve"> </v>
      </c>
      <c r="M52" s="36" t="str">
        <f>IF(ISBLANK(A52),"",(I52*G52*8)-L52)</f>
        <v/>
      </c>
      <c r="N52" s="89"/>
      <c r="O52" s="205" t="str">
        <f t="shared" ref="O52:O58" si="22">IF(ISBLANK(A52),"",G52*N52*$B$9)</f>
        <v/>
      </c>
      <c r="P52" s="36" t="str">
        <f t="shared" ref="P52:P58" si="23">IF(ISBLANK(A52),"",O52-L52)</f>
        <v/>
      </c>
      <c r="Q52" s="15" t="str">
        <f t="shared" ref="Q52:Q58" si="24">IF(ISBLANK(A52),"",P52/O52)</f>
        <v/>
      </c>
      <c r="R52" s="260"/>
      <c r="T52" s="41" t="str">
        <f t="shared" ref="T52:T58" si="25">IF(ISBLANK(A52),"",CONCATENATE(C52,"-",$B$5))</f>
        <v/>
      </c>
      <c r="X52" s="230"/>
    </row>
    <row r="53" spans="1:147" outlineLevel="1" x14ac:dyDescent="0.2">
      <c r="A53" s="86"/>
      <c r="B53" s="86"/>
      <c r="C53" s="86"/>
      <c r="D53" s="87"/>
      <c r="E53" s="87"/>
      <c r="F53" s="158"/>
      <c r="G53" s="9" t="str">
        <f t="shared" si="18"/>
        <v/>
      </c>
      <c r="H53" s="119" t="str">
        <f t="shared" si="19"/>
        <v/>
      </c>
      <c r="I53" s="89"/>
      <c r="J53" s="36" t="str">
        <f t="shared" si="20"/>
        <v/>
      </c>
      <c r="K53" s="207"/>
      <c r="L53" s="215" t="str">
        <f t="shared" si="21"/>
        <v xml:space="preserve"> </v>
      </c>
      <c r="M53" s="36" t="str">
        <f t="shared" ref="M53:M58" si="26">IF(ISBLANK(A53),"",J53-L53)</f>
        <v/>
      </c>
      <c r="N53" s="89"/>
      <c r="O53" s="205" t="str">
        <f t="shared" si="22"/>
        <v/>
      </c>
      <c r="P53" s="36" t="str">
        <f t="shared" si="23"/>
        <v/>
      </c>
      <c r="Q53" s="15" t="str">
        <f t="shared" si="24"/>
        <v/>
      </c>
      <c r="R53" s="260"/>
      <c r="T53" s="41" t="str">
        <f t="shared" si="25"/>
        <v/>
      </c>
    </row>
    <row r="54" spans="1:147" outlineLevel="1" x14ac:dyDescent="0.2">
      <c r="A54" s="86"/>
      <c r="B54" s="86"/>
      <c r="C54" s="86"/>
      <c r="D54" s="87"/>
      <c r="E54" s="87"/>
      <c r="F54" s="158"/>
      <c r="G54" s="9" t="str">
        <f t="shared" si="18"/>
        <v/>
      </c>
      <c r="H54" s="119" t="str">
        <f t="shared" si="19"/>
        <v/>
      </c>
      <c r="I54" s="89"/>
      <c r="J54" s="36" t="str">
        <f t="shared" si="20"/>
        <v/>
      </c>
      <c r="K54" s="207"/>
      <c r="L54" s="215" t="str">
        <f t="shared" si="21"/>
        <v xml:space="preserve"> </v>
      </c>
      <c r="M54" s="36" t="str">
        <f t="shared" si="26"/>
        <v/>
      </c>
      <c r="N54" s="89"/>
      <c r="O54" s="205" t="str">
        <f t="shared" si="22"/>
        <v/>
      </c>
      <c r="P54" s="36" t="str">
        <f t="shared" si="23"/>
        <v/>
      </c>
      <c r="Q54" s="15" t="str">
        <f t="shared" si="24"/>
        <v/>
      </c>
      <c r="R54" s="260"/>
      <c r="T54" s="41" t="str">
        <f t="shared" si="25"/>
        <v/>
      </c>
    </row>
    <row r="55" spans="1:147" outlineLevel="1" x14ac:dyDescent="0.2">
      <c r="A55" s="86"/>
      <c r="B55" s="86"/>
      <c r="C55" s="86"/>
      <c r="D55" s="87"/>
      <c r="E55" s="87"/>
      <c r="F55" s="158"/>
      <c r="G55" s="9" t="str">
        <f t="shared" si="18"/>
        <v/>
      </c>
      <c r="H55" s="119" t="str">
        <f t="shared" si="19"/>
        <v/>
      </c>
      <c r="I55" s="89"/>
      <c r="J55" s="36" t="str">
        <f t="shared" si="20"/>
        <v/>
      </c>
      <c r="K55" s="207"/>
      <c r="L55" s="215" t="str">
        <f t="shared" si="21"/>
        <v xml:space="preserve"> </v>
      </c>
      <c r="M55" s="36" t="str">
        <f t="shared" si="26"/>
        <v/>
      </c>
      <c r="N55" s="89"/>
      <c r="O55" s="205" t="str">
        <f t="shared" si="22"/>
        <v/>
      </c>
      <c r="P55" s="36" t="str">
        <f t="shared" si="23"/>
        <v/>
      </c>
      <c r="Q55" s="15" t="str">
        <f t="shared" si="24"/>
        <v/>
      </c>
      <c r="R55" s="260"/>
      <c r="T55" s="41" t="str">
        <f t="shared" si="25"/>
        <v/>
      </c>
    </row>
    <row r="56" spans="1:147" outlineLevel="1" x14ac:dyDescent="0.2">
      <c r="A56" s="86"/>
      <c r="B56" s="86"/>
      <c r="C56" s="86"/>
      <c r="D56" s="87"/>
      <c r="E56" s="87"/>
      <c r="F56" s="158"/>
      <c r="G56" s="9" t="str">
        <f t="shared" si="18"/>
        <v/>
      </c>
      <c r="H56" s="119" t="str">
        <f t="shared" si="19"/>
        <v/>
      </c>
      <c r="I56" s="89"/>
      <c r="J56" s="36" t="str">
        <f t="shared" si="20"/>
        <v/>
      </c>
      <c r="K56" s="207"/>
      <c r="L56" s="215" t="str">
        <f t="shared" si="21"/>
        <v xml:space="preserve"> </v>
      </c>
      <c r="M56" s="36" t="str">
        <f t="shared" si="26"/>
        <v/>
      </c>
      <c r="N56" s="89"/>
      <c r="O56" s="205" t="str">
        <f t="shared" si="22"/>
        <v/>
      </c>
      <c r="P56" s="36" t="str">
        <f t="shared" si="23"/>
        <v/>
      </c>
      <c r="Q56" s="15" t="str">
        <f t="shared" si="24"/>
        <v/>
      </c>
      <c r="R56" s="260"/>
      <c r="T56" s="41" t="str">
        <f t="shared" si="25"/>
        <v/>
      </c>
    </row>
    <row r="57" spans="1:147" outlineLevel="1" x14ac:dyDescent="0.2">
      <c r="A57" s="86"/>
      <c r="B57" s="86"/>
      <c r="C57" s="86"/>
      <c r="D57" s="87"/>
      <c r="E57" s="87"/>
      <c r="F57" s="158"/>
      <c r="G57" s="9" t="str">
        <f t="shared" si="18"/>
        <v/>
      </c>
      <c r="H57" s="119" t="str">
        <f t="shared" si="19"/>
        <v/>
      </c>
      <c r="I57" s="89"/>
      <c r="J57" s="36" t="str">
        <f t="shared" si="20"/>
        <v/>
      </c>
      <c r="K57" s="207"/>
      <c r="L57" s="215" t="str">
        <f t="shared" si="21"/>
        <v xml:space="preserve"> </v>
      </c>
      <c r="M57" s="36" t="str">
        <f t="shared" si="26"/>
        <v/>
      </c>
      <c r="N57" s="89"/>
      <c r="O57" s="205" t="str">
        <f t="shared" si="22"/>
        <v/>
      </c>
      <c r="P57" s="36" t="str">
        <f t="shared" si="23"/>
        <v/>
      </c>
      <c r="Q57" s="15" t="str">
        <f t="shared" si="24"/>
        <v/>
      </c>
      <c r="R57" s="260"/>
      <c r="T57" s="41" t="str">
        <f t="shared" si="25"/>
        <v/>
      </c>
    </row>
    <row r="58" spans="1:147" s="11" customFormat="1" ht="13.5" outlineLevel="1" thickBot="1" x14ac:dyDescent="0.25">
      <c r="A58" s="163"/>
      <c r="B58" s="163"/>
      <c r="C58" s="163"/>
      <c r="D58" s="164"/>
      <c r="E58" s="164"/>
      <c r="F58" s="165"/>
      <c r="G58" s="166" t="str">
        <f t="shared" si="18"/>
        <v/>
      </c>
      <c r="H58" s="167" t="str">
        <f t="shared" si="19"/>
        <v/>
      </c>
      <c r="I58" s="171"/>
      <c r="J58" s="81" t="str">
        <f t="shared" si="20"/>
        <v/>
      </c>
      <c r="K58" s="208"/>
      <c r="L58" s="216" t="str">
        <f t="shared" si="21"/>
        <v xml:space="preserve"> </v>
      </c>
      <c r="M58" s="81" t="str">
        <f t="shared" si="26"/>
        <v/>
      </c>
      <c r="N58" s="171"/>
      <c r="O58" s="204" t="str">
        <f t="shared" si="22"/>
        <v/>
      </c>
      <c r="P58" s="81" t="str">
        <f t="shared" si="23"/>
        <v/>
      </c>
      <c r="Q58" s="154" t="str">
        <f t="shared" si="24"/>
        <v/>
      </c>
      <c r="R58" s="259"/>
      <c r="S58" s="170"/>
      <c r="T58" s="41" t="str">
        <f t="shared" si="25"/>
        <v/>
      </c>
      <c r="U58" s="41"/>
      <c r="V58" s="41"/>
      <c r="W58" s="41"/>
      <c r="X58" s="41"/>
      <c r="Y58" s="41"/>
      <c r="Z58" s="41"/>
      <c r="AA58" s="41"/>
      <c r="AB58" s="41"/>
      <c r="AC58" s="41"/>
      <c r="AD58" s="41"/>
      <c r="AE58" s="41"/>
      <c r="AF58" s="41"/>
      <c r="AG58" s="41"/>
      <c r="AH58" s="41"/>
      <c r="AI58" s="41"/>
      <c r="AJ58" s="41"/>
      <c r="AK58" s="41"/>
      <c r="AL58" s="41"/>
      <c r="AM58" s="41"/>
      <c r="AN58" s="41"/>
      <c r="AO58" s="41"/>
      <c r="AP58" s="41"/>
      <c r="AQ58" s="41"/>
      <c r="AR58" s="41"/>
      <c r="AS58" s="41"/>
      <c r="AT58" s="41"/>
      <c r="AU58" s="41"/>
      <c r="AV58" s="41"/>
      <c r="AW58" s="41"/>
      <c r="AX58" s="41"/>
      <c r="AY58" s="41"/>
      <c r="AZ58" s="41"/>
      <c r="BA58" s="41"/>
      <c r="BB58" s="41"/>
      <c r="BC58" s="41"/>
      <c r="BD58" s="41"/>
      <c r="BE58" s="41"/>
      <c r="BF58" s="41"/>
      <c r="BG58" s="41"/>
      <c r="BH58" s="41"/>
      <c r="BI58" s="41"/>
      <c r="BJ58" s="41"/>
      <c r="BK58" s="41"/>
      <c r="BL58" s="41"/>
      <c r="BM58" s="41"/>
      <c r="BN58" s="41"/>
      <c r="BO58" s="41"/>
      <c r="BP58" s="41"/>
      <c r="BQ58" s="41"/>
      <c r="BR58" s="41"/>
      <c r="BS58" s="41"/>
      <c r="BT58" s="41"/>
      <c r="BU58" s="41"/>
      <c r="BV58" s="41"/>
      <c r="BW58" s="41"/>
      <c r="BX58" s="41"/>
      <c r="BY58" s="41"/>
      <c r="BZ58" s="41"/>
      <c r="CA58" s="41"/>
      <c r="CB58" s="41"/>
      <c r="CC58" s="41"/>
      <c r="CD58" s="41"/>
      <c r="CE58" s="41"/>
      <c r="CF58" s="41"/>
      <c r="CG58" s="41"/>
      <c r="CH58" s="41"/>
      <c r="CI58" s="41"/>
      <c r="CJ58" s="41"/>
      <c r="CK58" s="41"/>
      <c r="CL58" s="41"/>
      <c r="CM58" s="41"/>
      <c r="CN58" s="41"/>
      <c r="CO58" s="41"/>
      <c r="CP58" s="41"/>
      <c r="CQ58" s="41"/>
      <c r="CR58" s="41"/>
      <c r="CS58" s="41"/>
      <c r="CT58" s="41"/>
      <c r="CU58" s="41"/>
      <c r="CV58" s="41"/>
      <c r="CW58" s="41"/>
      <c r="CX58" s="41"/>
      <c r="CY58" s="41"/>
      <c r="CZ58" s="41"/>
      <c r="DA58" s="41"/>
      <c r="DB58" s="41"/>
      <c r="DC58" s="41"/>
      <c r="DD58" s="41"/>
      <c r="DE58" s="41"/>
      <c r="DF58" s="41"/>
      <c r="DG58" s="41"/>
      <c r="DH58" s="41"/>
      <c r="DI58" s="41"/>
      <c r="DJ58" s="41"/>
      <c r="DK58" s="41"/>
      <c r="DL58" s="41"/>
      <c r="DM58" s="41"/>
      <c r="DN58" s="41"/>
      <c r="DO58" s="41"/>
      <c r="DP58" s="41"/>
      <c r="DQ58" s="41"/>
      <c r="DR58" s="41"/>
      <c r="DS58" s="41"/>
      <c r="DT58" s="41"/>
      <c r="DU58" s="41"/>
      <c r="DV58" s="41"/>
      <c r="DW58" s="41"/>
      <c r="DX58" s="41"/>
      <c r="DY58" s="41"/>
      <c r="DZ58" s="41"/>
      <c r="EA58" s="41"/>
      <c r="EB58" s="41"/>
      <c r="EC58" s="41"/>
      <c r="ED58" s="41"/>
      <c r="EE58" s="41"/>
      <c r="EF58" s="41"/>
      <c r="EG58" s="41"/>
      <c r="EH58" s="41"/>
      <c r="EI58" s="41"/>
      <c r="EJ58" s="41"/>
      <c r="EK58" s="41"/>
      <c r="EL58" s="41"/>
      <c r="EM58" s="41"/>
      <c r="EN58" s="41"/>
      <c r="EO58" s="41"/>
      <c r="EP58" s="41"/>
      <c r="EQ58" s="41"/>
    </row>
    <row r="59" spans="1:147" x14ac:dyDescent="0.2">
      <c r="A59" s="3" t="s">
        <v>13</v>
      </c>
      <c r="G59" s="9">
        <f>SUM(G52:G58)</f>
        <v>0</v>
      </c>
      <c r="H59" s="9">
        <f>SUM(H52:H58)</f>
        <v>0</v>
      </c>
      <c r="I59" s="31"/>
      <c r="J59" s="36">
        <f>SUM(J52:J58)</f>
        <v>0</v>
      </c>
      <c r="K59" s="205"/>
      <c r="L59" s="205">
        <f>SUM(L52:L58)</f>
        <v>0</v>
      </c>
      <c r="M59" s="36">
        <f>SUM(M52:M58)</f>
        <v>0</v>
      </c>
      <c r="N59" s="33"/>
      <c r="O59" s="205">
        <f>SUM(O52:O58)</f>
        <v>0</v>
      </c>
      <c r="P59" s="36">
        <f>SUM(P52:P58)</f>
        <v>0</v>
      </c>
      <c r="Q59" s="15">
        <f>IF(ISBLANK(A59),"",IF(O59&gt;0,P59/O59,0))</f>
        <v>0</v>
      </c>
      <c r="R59" s="260"/>
    </row>
    <row r="60" spans="1:147" x14ac:dyDescent="0.2">
      <c r="I60" s="31"/>
      <c r="J60" s="36"/>
      <c r="K60" s="205"/>
      <c r="L60" s="205"/>
      <c r="M60" s="36"/>
      <c r="O60" s="205"/>
      <c r="P60" s="36"/>
    </row>
    <row r="61" spans="1:147" x14ac:dyDescent="0.2">
      <c r="A61" s="3" t="s">
        <v>14</v>
      </c>
      <c r="G61" s="17">
        <f>IF($B$4="Fixed Price",RISK!$L$7*(G48+G59),RISK!$N$7*(G48+G59))</f>
        <v>0</v>
      </c>
      <c r="H61" s="119">
        <f>IF(ISBLANK(B6),0,G61*B9)</f>
        <v>0</v>
      </c>
      <c r="I61" s="33"/>
      <c r="J61" s="50">
        <f>IF($B$4="Fixed Price",RISK!$L$7*(J48+J59),RISK!$N$7*(J48+J59))</f>
        <v>0</v>
      </c>
      <c r="K61" s="205"/>
      <c r="L61" s="50">
        <f>IF($B$4="Fixed Price",RISK!$L$7*(L48+L59),RISK!$N$7*(L48+L59))</f>
        <v>0</v>
      </c>
      <c r="M61" s="50">
        <f>IF($B$4="Fixed Price",RISK!$L$7*(M48+M59),RISK!$N$7*(M48+M59))</f>
        <v>0</v>
      </c>
      <c r="O61" s="50">
        <f>IF($B$4="Fixed Price",RISK!$L$7*(O48+O59),RISK!$N$7*(O48+O59))</f>
        <v>0</v>
      </c>
      <c r="P61" s="50">
        <f>IF($B$4="Fixed Price",RISK!$L$7*(P48+P59),RISK!$N$7*(P48+P59))</f>
        <v>0</v>
      </c>
      <c r="Q61" s="15" t="str">
        <f>IF(G61=0,"",P61/O61)</f>
        <v/>
      </c>
      <c r="R61" s="260"/>
    </row>
    <row r="62" spans="1:147" x14ac:dyDescent="0.2">
      <c r="A62" s="3" t="s">
        <v>165</v>
      </c>
      <c r="G62" s="17">
        <f>IF($B$4="Fixed Price",RISK!$M$7*(G48+G59)+RISK!$O$7*(G48+G59),0)</f>
        <v>0</v>
      </c>
      <c r="H62" s="119">
        <f>IF(ISBLANK(B6),0,G62*B9)</f>
        <v>0</v>
      </c>
      <c r="I62" s="33"/>
      <c r="J62" s="17">
        <f>IF($B$4="Fixed Price",RISK!$M$7*(J48+J59)+RISK!$O$7*(J48+J59),0)</f>
        <v>0</v>
      </c>
      <c r="K62" s="205"/>
      <c r="L62" s="17">
        <f>IF($B$4="Fixed Price",RISK!$M$7*(L48+L59)+RISK!$O$7*(L48+L59),0)</f>
        <v>0</v>
      </c>
      <c r="M62" s="17">
        <f>IF($B$4="Fixed Price",RISK!$M$7*(M48+M59)+RISK!$O$7*(M48+M59),0)</f>
        <v>0</v>
      </c>
      <c r="O62" s="17">
        <f>IF($B$4="Fixed Price",RISK!$M$7*(O48+O59)+RISK!$O$7*(O48+O59),0)</f>
        <v>0</v>
      </c>
      <c r="P62" s="17">
        <f>IF($B$4="Fixed Price",RISK!$M$7*(P48+P59)+RISK!$O$7*(P48+P59),0)</f>
        <v>0</v>
      </c>
      <c r="Q62" s="15" t="str">
        <f>IF(G62=0,"",P62/O62)</f>
        <v/>
      </c>
      <c r="R62" s="260"/>
    </row>
    <row r="63" spans="1:147" x14ac:dyDescent="0.2">
      <c r="A63" s="3" t="s">
        <v>164</v>
      </c>
      <c r="G63" s="17">
        <f>IF($B$4="T&amp;M",RISK!$O$7*(G48+G59),0)</f>
        <v>0</v>
      </c>
      <c r="H63" s="119">
        <f>IF(ISBLANK(B6),0,G63*B9)</f>
        <v>0</v>
      </c>
      <c r="I63" s="33"/>
      <c r="J63" s="17">
        <f>IF($B$4="T&amp;M",RISK!$O$7*(J48+J59),0)</f>
        <v>0</v>
      </c>
      <c r="K63" s="205"/>
      <c r="L63" s="17">
        <f>IF($B$4="T&amp;M",RISK!$O$7*(L48+L59),0)</f>
        <v>0</v>
      </c>
      <c r="M63" s="17">
        <f>IF($B$4="T&amp;M",RISK!$O$7*(M48+M59),0)</f>
        <v>0</v>
      </c>
      <c r="O63" s="17">
        <f>IF($B$4="T&amp;M",RISK!$O$7*(O48+O59),0)</f>
        <v>0</v>
      </c>
      <c r="P63" s="17">
        <f>IF($B$4="T&amp;M",RISK!$O$7*(P48+P59),0)</f>
        <v>0</v>
      </c>
      <c r="Q63" s="15" t="str">
        <f>IF(G63=0,"",P63/O63)</f>
        <v/>
      </c>
      <c r="R63" s="260"/>
    </row>
    <row r="64" spans="1:147" x14ac:dyDescent="0.2">
      <c r="A64" s="3" t="s">
        <v>141</v>
      </c>
      <c r="G64" s="17">
        <f>G48+G59+G61+G62+G63</f>
        <v>0</v>
      </c>
      <c r="H64" s="17">
        <f>H48+H59+H61+H62+H63</f>
        <v>0</v>
      </c>
      <c r="I64" s="33"/>
      <c r="J64" s="17">
        <f>J48+J59+J61+J62+J63</f>
        <v>0</v>
      </c>
      <c r="K64" s="205"/>
      <c r="L64" s="17">
        <f>L48+L59+L61+L62+L63</f>
        <v>0</v>
      </c>
      <c r="M64" s="17">
        <f>M48+M59+M61+M63+M74+M62</f>
        <v>0</v>
      </c>
      <c r="O64" s="17">
        <f>O48+O59+O61+O62+O63</f>
        <v>0</v>
      </c>
      <c r="P64" s="17">
        <f>P48+P59+P61+P63+P74+P62</f>
        <v>0</v>
      </c>
      <c r="Q64" s="15">
        <f>IF(ISBLANK(A64),"",IF(O64&gt;0,P64/O64,0))</f>
        <v>0</v>
      </c>
      <c r="R64" s="260"/>
    </row>
    <row r="65" spans="1:147" x14ac:dyDescent="0.2">
      <c r="A65" s="3"/>
      <c r="G65" s="17"/>
      <c r="H65" s="119"/>
      <c r="I65" s="33"/>
      <c r="J65" s="50"/>
      <c r="K65" s="205"/>
      <c r="L65" s="50"/>
      <c r="M65" s="50"/>
      <c r="O65" s="50"/>
      <c r="P65" s="50"/>
      <c r="Q65" s="15"/>
      <c r="R65" s="260"/>
    </row>
    <row r="66" spans="1:147" hidden="1" outlineLevel="1" x14ac:dyDescent="0.2">
      <c r="A66" s="12" t="s">
        <v>139</v>
      </c>
      <c r="B66" s="12"/>
      <c r="C66" s="12"/>
      <c r="D66" s="13" t="s">
        <v>54</v>
      </c>
      <c r="E66" s="13" t="s">
        <v>55</v>
      </c>
      <c r="F66" s="13" t="s">
        <v>143</v>
      </c>
      <c r="G66" s="13" t="s">
        <v>20</v>
      </c>
      <c r="H66" s="118" t="s">
        <v>78</v>
      </c>
      <c r="I66" s="40" t="s">
        <v>10</v>
      </c>
      <c r="J66" s="13" t="s">
        <v>56</v>
      </c>
      <c r="K66" s="202"/>
      <c r="L66" s="214" t="s">
        <v>31</v>
      </c>
      <c r="M66" s="39" t="s">
        <v>21</v>
      </c>
      <c r="N66" s="35" t="s">
        <v>22</v>
      </c>
      <c r="O66" s="214" t="s">
        <v>58</v>
      </c>
      <c r="P66" s="13" t="s">
        <v>32</v>
      </c>
      <c r="Q66" s="13"/>
      <c r="R66" s="257"/>
    </row>
    <row r="67" spans="1:147" hidden="1" outlineLevel="1" x14ac:dyDescent="0.2">
      <c r="A67" s="156"/>
      <c r="B67" s="156"/>
      <c r="C67" s="156"/>
      <c r="D67" s="157"/>
      <c r="E67" s="157"/>
      <c r="F67" s="158"/>
      <c r="G67" s="159" t="str">
        <f>IF(ISBLANK(A67),"",NETWORKDAYS(D67,E67)*F67)</f>
        <v/>
      </c>
      <c r="H67" s="160" t="str">
        <f>IF(ISBLANK(A67),"",G67*$B$9)</f>
        <v/>
      </c>
      <c r="I67" s="161">
        <v>0</v>
      </c>
      <c r="J67" s="79" t="str">
        <f>IF(ISBLANK(A67),"",H67*I67)</f>
        <v/>
      </c>
      <c r="K67" s="209">
        <v>0</v>
      </c>
      <c r="L67" s="217" t="str">
        <f>IF(ISBLANK(A67)," ",(K67*G67*$B$9))</f>
        <v xml:space="preserve"> </v>
      </c>
      <c r="M67" s="79" t="str">
        <f>IF(ISBLANK(A67),"",(I67*G67*8)-L67)</f>
        <v/>
      </c>
      <c r="N67" s="161">
        <v>0</v>
      </c>
      <c r="O67" s="203" t="str">
        <f>IF(ISBLANK(A67),"",G67*N67*$B$9)</f>
        <v/>
      </c>
      <c r="P67" s="79" t="str">
        <f>IF(ISBLANK(A67),"",O67-L67)</f>
        <v/>
      </c>
      <c r="Q67" s="151"/>
      <c r="R67" s="258"/>
      <c r="S67" s="41"/>
      <c r="T67" s="41" t="str">
        <f>IF(ISBLANK(A67),"",CONCATENATE(C67,"-",$B$5))</f>
        <v/>
      </c>
      <c r="X67" s="230"/>
    </row>
    <row r="68" spans="1:147" hidden="1" outlineLevel="1" x14ac:dyDescent="0.2">
      <c r="A68" s="156"/>
      <c r="B68" s="156"/>
      <c r="C68" s="156"/>
      <c r="D68" s="157"/>
      <c r="E68" s="157"/>
      <c r="F68" s="158"/>
      <c r="G68" s="159" t="str">
        <f>IF(ISBLANK(A68),"",NETWORKDAYS(D68,E68)*F68)</f>
        <v/>
      </c>
      <c r="H68" s="160" t="str">
        <f>IF(ISBLANK(A68),"",G68*$B$9)</f>
        <v/>
      </c>
      <c r="I68" s="161">
        <v>0</v>
      </c>
      <c r="J68" s="79" t="str">
        <f>IF(ISBLANK(A68),"",H68*I68)</f>
        <v/>
      </c>
      <c r="K68" s="209">
        <v>0</v>
      </c>
      <c r="L68" s="217" t="str">
        <f>IF(ISBLANK(A68)," ",(K68*G68*$B$9))</f>
        <v xml:space="preserve"> </v>
      </c>
      <c r="M68" s="79" t="str">
        <f>IF(ISBLANK(A68),"",J68-L68)</f>
        <v/>
      </c>
      <c r="N68" s="161">
        <v>0</v>
      </c>
      <c r="O68" s="203" t="str">
        <f>IF(ISBLANK(A68),"",G68*N68*$B$9)</f>
        <v/>
      </c>
      <c r="P68" s="79" t="str">
        <f>IF(ISBLANK(A68),"",O68-L68)</f>
        <v/>
      </c>
      <c r="Q68" s="151"/>
      <c r="R68" s="258"/>
      <c r="S68" s="41"/>
      <c r="T68" s="41" t="str">
        <f>IF(ISBLANK(A68),"",CONCATENATE(C68,"-",$B$5))</f>
        <v/>
      </c>
    </row>
    <row r="69" spans="1:147" hidden="1" outlineLevel="1" x14ac:dyDescent="0.2">
      <c r="A69" s="156"/>
      <c r="B69" s="156"/>
      <c r="C69" s="156"/>
      <c r="D69" s="157"/>
      <c r="E69" s="157"/>
      <c r="F69" s="158"/>
      <c r="G69" s="159" t="str">
        <f>IF(ISBLANK(A69),"",NETWORKDAYS(D69,E69)*F69)</f>
        <v/>
      </c>
      <c r="H69" s="160" t="str">
        <f>IF(ISBLANK(A69),"",G69*$B$9)</f>
        <v/>
      </c>
      <c r="I69" s="161">
        <v>0</v>
      </c>
      <c r="J69" s="79" t="str">
        <f>IF(ISBLANK(A69),"",H69*I69)</f>
        <v/>
      </c>
      <c r="K69" s="209">
        <v>0</v>
      </c>
      <c r="L69" s="217" t="str">
        <f>IF(ISBLANK(A69)," ",(K69*G69*$B$9))</f>
        <v xml:space="preserve"> </v>
      </c>
      <c r="M69" s="79" t="str">
        <f>IF(ISBLANK(A69),"",J69-L69)</f>
        <v/>
      </c>
      <c r="N69" s="161">
        <v>0</v>
      </c>
      <c r="O69" s="203" t="str">
        <f>IF(ISBLANK(A69),"",G69*N69*$B$9)</f>
        <v/>
      </c>
      <c r="P69" s="79" t="str">
        <f>IF(ISBLANK(A69),"",O69-L69)</f>
        <v/>
      </c>
      <c r="Q69" s="151" t="str">
        <f>IF(ISBLANK(A69),"",P69/O69)</f>
        <v/>
      </c>
      <c r="R69" s="258"/>
      <c r="S69" s="41"/>
      <c r="T69" s="41" t="str">
        <f>IF(ISBLANK(A69),"",CONCATENATE(C69,"-",$B$5))</f>
        <v/>
      </c>
    </row>
    <row r="70" spans="1:147" hidden="1" outlineLevel="1" x14ac:dyDescent="0.2">
      <c r="A70" s="156"/>
      <c r="B70" s="156"/>
      <c r="C70" s="156"/>
      <c r="D70" s="157"/>
      <c r="E70" s="157"/>
      <c r="F70" s="158"/>
      <c r="G70" s="159" t="str">
        <f>IF(ISBLANK(A70),"",NETWORKDAYS(D70,E70)*F70)</f>
        <v/>
      </c>
      <c r="H70" s="160" t="str">
        <f>IF(ISBLANK(A70),"",G70*$B$9)</f>
        <v/>
      </c>
      <c r="I70" s="161">
        <v>0</v>
      </c>
      <c r="J70" s="79" t="str">
        <f>IF(ISBLANK(A70),"",H70*I70)</f>
        <v/>
      </c>
      <c r="K70" s="209">
        <v>0</v>
      </c>
      <c r="L70" s="217" t="str">
        <f>IF(ISBLANK(A70)," ",(K70*G70*$B$9))</f>
        <v xml:space="preserve"> </v>
      </c>
      <c r="M70" s="79" t="str">
        <f>IF(ISBLANK(A70),"",J70-L70)</f>
        <v/>
      </c>
      <c r="N70" s="161">
        <v>0</v>
      </c>
      <c r="O70" s="203" t="str">
        <f>IF(ISBLANK(A70),"",G70*N70*$B$9)</f>
        <v/>
      </c>
      <c r="P70" s="79" t="str">
        <f>IF(ISBLANK(A70),"",O70-L70)</f>
        <v/>
      </c>
      <c r="Q70" s="151" t="str">
        <f>IF(ISBLANK(A70),"",P70/O70)</f>
        <v/>
      </c>
      <c r="R70" s="258"/>
      <c r="S70" s="41"/>
      <c r="T70" s="41" t="str">
        <f>IF(ISBLANK(A70),"",CONCATENATE(C70,"-",$B$5))</f>
        <v/>
      </c>
    </row>
    <row r="71" spans="1:147" ht="13.5" hidden="1" outlineLevel="1" thickBot="1" x14ac:dyDescent="0.25">
      <c r="A71" s="163"/>
      <c r="B71" s="163"/>
      <c r="C71" s="163"/>
      <c r="D71" s="164"/>
      <c r="E71" s="164"/>
      <c r="F71" s="165"/>
      <c r="G71" s="166" t="str">
        <f>IF(ISBLANK(A71),"",NETWORKDAYS(D71,E71)*F71)</f>
        <v/>
      </c>
      <c r="H71" s="167" t="str">
        <f>IF(ISBLANK(A71),"",G71*$B$9)</f>
        <v/>
      </c>
      <c r="I71" s="168">
        <v>0</v>
      </c>
      <c r="J71" s="81" t="str">
        <f>IF(ISBLANK(A71),"",H71*I71)</f>
        <v/>
      </c>
      <c r="K71" s="210">
        <v>0</v>
      </c>
      <c r="L71" s="216" t="str">
        <f>IF(ISBLANK(A71)," ",(K71*G71*$B$9))</f>
        <v xml:space="preserve"> </v>
      </c>
      <c r="M71" s="81" t="str">
        <f>IF(ISBLANK(A71),"",J71-L71)</f>
        <v/>
      </c>
      <c r="N71" s="168">
        <v>0</v>
      </c>
      <c r="O71" s="204" t="str">
        <f>IF(ISBLANK(A71),"",G71*N71*$B$9)</f>
        <v/>
      </c>
      <c r="P71" s="81" t="str">
        <f>IF(ISBLANK(A71),"",O71-L71)</f>
        <v/>
      </c>
      <c r="Q71" s="154" t="str">
        <f>IF(ISBLANK(A71),"",P71/O71)</f>
        <v/>
      </c>
      <c r="R71" s="259"/>
      <c r="S71" s="170"/>
      <c r="T71" s="41" t="str">
        <f>IF(ISBLANK(A71),"",CONCATENATE(C71,"-",$B$5))</f>
        <v/>
      </c>
    </row>
    <row r="72" spans="1:147" hidden="1" x14ac:dyDescent="0.2">
      <c r="A72" s="3" t="s">
        <v>140</v>
      </c>
      <c r="G72" s="17">
        <f>SUM(G67:G71)</f>
        <v>0</v>
      </c>
      <c r="H72" s="17">
        <f>SUM(H67:H71)</f>
        <v>0</v>
      </c>
      <c r="I72" s="33"/>
      <c r="J72" s="50"/>
      <c r="K72" s="205"/>
      <c r="L72" s="50"/>
      <c r="M72" s="50"/>
      <c r="O72" s="50"/>
      <c r="P72" s="50"/>
      <c r="Q72" s="15"/>
      <c r="R72" s="260"/>
    </row>
    <row r="73" spans="1:147" hidden="1" x14ac:dyDescent="0.2">
      <c r="A73" s="3"/>
      <c r="G73" s="17"/>
      <c r="H73" s="119"/>
      <c r="I73" s="33"/>
      <c r="J73" s="122"/>
      <c r="K73" s="205"/>
      <c r="L73" s="50"/>
      <c r="M73" s="50"/>
      <c r="O73" s="122"/>
      <c r="P73" s="50"/>
      <c r="Q73" s="15" t="str">
        <f>IF(G73=0,"",P73/O73)</f>
        <v/>
      </c>
      <c r="R73" s="260"/>
    </row>
    <row r="74" spans="1:147" s="11" customFormat="1" x14ac:dyDescent="0.2">
      <c r="A74" s="12" t="s">
        <v>16</v>
      </c>
      <c r="H74" s="120"/>
      <c r="I74" s="32"/>
      <c r="J74" s="37"/>
      <c r="K74" s="211"/>
      <c r="L74" s="211" t="e">
        <f>'Non-Reimbursable Expenses'!#REF!</f>
        <v>#REF!</v>
      </c>
      <c r="M74" s="37"/>
      <c r="N74" s="32"/>
      <c r="O74" s="211">
        <f>IF($B$4="Fixed Price",L74,0)</f>
        <v>0</v>
      </c>
      <c r="P74" s="37"/>
      <c r="Q74" s="18"/>
      <c r="R74" s="261"/>
      <c r="T74" s="41"/>
      <c r="U74" s="41"/>
      <c r="V74" s="41"/>
      <c r="W74" s="41"/>
      <c r="X74" s="41"/>
      <c r="Y74" s="41"/>
      <c r="Z74" s="41"/>
      <c r="AA74" s="41"/>
      <c r="AB74" s="41"/>
      <c r="AC74" s="41"/>
      <c r="AD74" s="41"/>
      <c r="AE74" s="41"/>
      <c r="AF74" s="41"/>
      <c r="AG74" s="41"/>
      <c r="AH74" s="41"/>
      <c r="AI74" s="41"/>
      <c r="AJ74" s="41"/>
      <c r="AK74" s="41"/>
      <c r="AL74" s="41"/>
      <c r="AM74" s="41"/>
      <c r="AN74" s="41"/>
      <c r="AO74" s="41"/>
      <c r="AP74" s="41"/>
      <c r="AQ74" s="41"/>
      <c r="AR74" s="41"/>
      <c r="AS74" s="41"/>
      <c r="AT74" s="41"/>
      <c r="AU74" s="41"/>
      <c r="AV74" s="41"/>
      <c r="AW74" s="41"/>
      <c r="AX74" s="41"/>
      <c r="AY74" s="41"/>
      <c r="AZ74" s="41"/>
      <c r="BA74" s="41"/>
      <c r="BB74" s="41"/>
      <c r="BC74" s="41"/>
      <c r="BD74" s="41"/>
      <c r="BE74" s="41"/>
      <c r="BF74" s="41"/>
      <c r="BG74" s="41"/>
      <c r="BH74" s="41"/>
      <c r="BI74" s="41"/>
      <c r="BJ74" s="41"/>
      <c r="BK74" s="41"/>
      <c r="BL74" s="41"/>
      <c r="BM74" s="41"/>
      <c r="BN74" s="41"/>
      <c r="BO74" s="41"/>
      <c r="BP74" s="41"/>
      <c r="BQ74" s="41"/>
      <c r="BR74" s="41"/>
      <c r="BS74" s="41"/>
      <c r="BT74" s="41"/>
      <c r="BU74" s="41"/>
      <c r="BV74" s="41"/>
      <c r="BW74" s="41"/>
      <c r="BX74" s="41"/>
      <c r="BY74" s="41"/>
      <c r="BZ74" s="41"/>
      <c r="CA74" s="41"/>
      <c r="CB74" s="41"/>
      <c r="CC74" s="41"/>
      <c r="CD74" s="41"/>
      <c r="CE74" s="41"/>
      <c r="CF74" s="41"/>
      <c r="CG74" s="41"/>
      <c r="CH74" s="41"/>
      <c r="CI74" s="41"/>
      <c r="CJ74" s="41"/>
      <c r="CK74" s="41"/>
      <c r="CL74" s="41"/>
      <c r="CM74" s="41"/>
      <c r="CN74" s="41"/>
      <c r="CO74" s="41"/>
      <c r="CP74" s="41"/>
      <c r="CQ74" s="41"/>
      <c r="CR74" s="41"/>
      <c r="CS74" s="41"/>
      <c r="CT74" s="41"/>
      <c r="CU74" s="41"/>
      <c r="CV74" s="41"/>
      <c r="CW74" s="41"/>
      <c r="CX74" s="41"/>
      <c r="CY74" s="41"/>
      <c r="CZ74" s="41"/>
      <c r="DA74" s="41"/>
      <c r="DB74" s="41"/>
      <c r="DC74" s="41"/>
      <c r="DD74" s="41"/>
      <c r="DE74" s="41"/>
      <c r="DF74" s="41"/>
      <c r="DG74" s="41"/>
      <c r="DH74" s="41"/>
      <c r="DI74" s="41"/>
      <c r="DJ74" s="41"/>
      <c r="DK74" s="41"/>
      <c r="DL74" s="41"/>
      <c r="DM74" s="41"/>
      <c r="DN74" s="41"/>
      <c r="DO74" s="41"/>
      <c r="DP74" s="41"/>
      <c r="DQ74" s="41"/>
      <c r="DR74" s="41"/>
      <c r="DS74" s="41"/>
      <c r="DT74" s="41"/>
      <c r="DU74" s="41"/>
      <c r="DV74" s="41"/>
      <c r="DW74" s="41"/>
      <c r="DX74" s="41"/>
      <c r="DY74" s="41"/>
      <c r="DZ74" s="41"/>
      <c r="EA74" s="41"/>
      <c r="EB74" s="41"/>
      <c r="EC74" s="41"/>
      <c r="ED74" s="41"/>
      <c r="EE74" s="41"/>
      <c r="EF74" s="41"/>
      <c r="EG74" s="41"/>
      <c r="EH74" s="41"/>
      <c r="EI74" s="41"/>
      <c r="EJ74" s="41"/>
      <c r="EK74" s="41"/>
      <c r="EL74" s="41"/>
      <c r="EM74" s="41"/>
      <c r="EN74" s="41"/>
      <c r="EO74" s="41"/>
      <c r="EP74" s="41"/>
      <c r="EQ74" s="41"/>
    </row>
    <row r="75" spans="1:147" ht="15.75" x14ac:dyDescent="0.25">
      <c r="A75" s="14" t="s">
        <v>17</v>
      </c>
      <c r="G75" s="9">
        <f>G64+G72</f>
        <v>0</v>
      </c>
      <c r="H75" s="9">
        <f>H64+H72</f>
        <v>0</v>
      </c>
      <c r="I75" s="31"/>
      <c r="J75" s="36">
        <f>J64</f>
        <v>0</v>
      </c>
      <c r="K75" s="205"/>
      <c r="L75" s="205" t="e">
        <f>L64+L74</f>
        <v>#REF!</v>
      </c>
      <c r="M75" s="36">
        <f>M64</f>
        <v>0</v>
      </c>
      <c r="N75" s="33"/>
      <c r="O75" s="205">
        <f>O64+O74</f>
        <v>0</v>
      </c>
      <c r="P75" s="36">
        <f>P64</f>
        <v>0</v>
      </c>
      <c r="Q75" s="15">
        <f>IF(ISBLANK(A75),"",IF(O75&gt;0,P75/O75,0))</f>
        <v>0</v>
      </c>
      <c r="R75" s="260"/>
    </row>
    <row r="76" spans="1:147" ht="4.5" customHeight="1" thickBot="1" x14ac:dyDescent="0.25">
      <c r="I76" s="31"/>
      <c r="J76" s="36"/>
      <c r="K76" s="205"/>
      <c r="L76" s="205"/>
      <c r="M76" s="36"/>
      <c r="O76" s="205"/>
      <c r="P76" s="36"/>
    </row>
    <row r="77" spans="1:147" ht="15.75" customHeight="1" thickBot="1" x14ac:dyDescent="0.3">
      <c r="A77" s="63" t="s">
        <v>60</v>
      </c>
      <c r="B77" s="64"/>
      <c r="C77" s="64"/>
      <c r="D77" s="64"/>
      <c r="E77" s="64"/>
      <c r="F77" s="64"/>
      <c r="G77" s="65"/>
      <c r="H77" s="121"/>
      <c r="I77" s="66"/>
      <c r="J77" s="67"/>
      <c r="K77" s="212"/>
      <c r="L77" s="212"/>
      <c r="M77" s="67"/>
      <c r="N77" s="66"/>
      <c r="O77" s="218">
        <f>O75</f>
        <v>0</v>
      </c>
      <c r="P77" s="43" t="e">
        <f>O77-L75</f>
        <v>#REF!</v>
      </c>
      <c r="Q77" s="44">
        <f>IF(ISBLANK(A77),"",IF(O77&gt;0,P77/O77,0))</f>
        <v>0</v>
      </c>
      <c r="R77" s="262"/>
    </row>
    <row r="78" spans="1:147" ht="6" customHeight="1" x14ac:dyDescent="0.2">
      <c r="I78" s="31"/>
      <c r="J78" s="36"/>
      <c r="K78" s="205"/>
      <c r="L78" s="205"/>
      <c r="M78" s="36"/>
      <c r="O78" s="205"/>
      <c r="P78" s="36"/>
    </row>
    <row r="79" spans="1:147" outlineLevel="1" x14ac:dyDescent="0.2">
      <c r="A79" s="2" t="str">
        <f>IF($B$8="Estimate","Low Estimate","")</f>
        <v/>
      </c>
      <c r="G79" s="9">
        <f>G75*(1-$F$8)</f>
        <v>0</v>
      </c>
      <c r="H79" s="9">
        <f>H75*(1-$F$8)</f>
        <v>0</v>
      </c>
      <c r="I79" s="31"/>
      <c r="J79" s="36">
        <f>J75*(1-$F$8)</f>
        <v>0</v>
      </c>
      <c r="K79" s="205"/>
      <c r="L79" s="205" t="e">
        <f>L75*(1-$F$8)</f>
        <v>#REF!</v>
      </c>
      <c r="M79" s="36">
        <f>M75*(1-$F$8)</f>
        <v>0</v>
      </c>
      <c r="N79" s="49"/>
      <c r="O79" s="205">
        <f>O75*(1-$F$8)</f>
        <v>0</v>
      </c>
      <c r="P79" s="36">
        <f>P75*(1-$F$8)</f>
        <v>0</v>
      </c>
      <c r="Q79" s="15">
        <f>IF(ISBLANK(A79),"",IF(O79&gt;0,P79/O79,0))</f>
        <v>0</v>
      </c>
      <c r="R79" s="260"/>
    </row>
    <row r="80" spans="1:147" outlineLevel="1" x14ac:dyDescent="0.2">
      <c r="A80" s="2" t="str">
        <f>IF($B$8="Estimate","High Estimate","")</f>
        <v/>
      </c>
      <c r="G80" s="9">
        <f>G75*(1+$F$9)</f>
        <v>0</v>
      </c>
      <c r="H80" s="9">
        <f>H75*(1+$F$9)</f>
        <v>0</v>
      </c>
      <c r="I80" s="31"/>
      <c r="J80" s="36">
        <f>J75*(1+$F$9)</f>
        <v>0</v>
      </c>
      <c r="K80" s="205"/>
      <c r="L80" s="205" t="e">
        <f>L75*(1+$F$9)</f>
        <v>#REF!</v>
      </c>
      <c r="M80" s="36">
        <f>M75*(1+$F$9)</f>
        <v>0</v>
      </c>
      <c r="N80" s="49"/>
      <c r="O80" s="205">
        <f>O75*(1+$F$9)</f>
        <v>0</v>
      </c>
      <c r="P80" s="36">
        <f>P75*(1+$F$9)</f>
        <v>0</v>
      </c>
      <c r="Q80" s="15">
        <f>IF(ISBLANK(A80),"",IF(O80&gt;0,P80/O80,0))</f>
        <v>0</v>
      </c>
      <c r="R80" s="260"/>
    </row>
    <row r="81" spans="9:9" x14ac:dyDescent="0.2">
      <c r="I81" s="31"/>
    </row>
  </sheetData>
  <sheetProtection sheet="1" objects="1" scenarios="1" sort="0" autoFilter="0" pivotTables="0"/>
  <mergeCells count="2">
    <mergeCell ref="A48:B48"/>
    <mergeCell ref="E3:I3"/>
  </mergeCells>
  <dataValidations count="12">
    <dataValidation type="decimal" allowBlank="1" showInputMessage="1" showErrorMessage="1" sqref="F14:F47" xr:uid="{00000000-0002-0000-0600-000000000000}">
      <formula1>0</formula1>
      <formula2>9</formula2>
    </dataValidation>
    <dataValidation type="list" allowBlank="1" showInputMessage="1" showErrorMessage="1" sqref="C14:C47" xr:uid="{00000000-0002-0000-0600-000001000000}">
      <formula1>"APAC, EU, NA, SELECT ONE, ERROR"</formula1>
    </dataValidation>
    <dataValidation type="list" allowBlank="1" showInputMessage="1" showErrorMessage="1" sqref="B8" xr:uid="{00000000-0002-0000-0600-000002000000}">
      <formula1>"Quote, Estimate, Select One"</formula1>
    </dataValidation>
    <dataValidation type="list" allowBlank="1" showInputMessage="1" showErrorMessage="1" sqref="B4" xr:uid="{00000000-0002-0000-0600-000003000000}">
      <formula1>"T&amp;M, Fixed Price, SELECT ONE"</formula1>
    </dataValidation>
    <dataValidation type="list" showInputMessage="1" showErrorMessage="1" sqref="B10" xr:uid="{00000000-0002-0000-0600-000004000000}">
      <formula1>"SELECT ONE, APAC, EU, NA"</formula1>
    </dataValidation>
    <dataValidation type="date" operator="greaterThanOrEqual" allowBlank="1" showInputMessage="1" showErrorMessage="1" sqref="D67:D68 D69:E71 D53:E58 D52 D14:E47" xr:uid="{00000000-0002-0000-0600-000005000000}">
      <formula1>38353</formula1>
    </dataValidation>
    <dataValidation type="whole" showInputMessage="1" showErrorMessage="1" sqref="B9:C9" xr:uid="{00000000-0002-0000-0600-000006000000}">
      <formula1>8</formula1>
      <formula2>9</formula2>
    </dataValidation>
    <dataValidation type="decimal" allowBlank="1" showInputMessage="1" showErrorMessage="1" sqref="F52:F58" xr:uid="{00000000-0002-0000-0600-000007000000}">
      <formula1>0</formula1>
      <formula2>5</formula2>
    </dataValidation>
    <dataValidation type="date" operator="greaterThan" allowBlank="1" showInputMessage="1" showErrorMessage="1" sqref="E67:E68 E52" xr:uid="{00000000-0002-0000-0600-000008000000}">
      <formula1>38353</formula1>
    </dataValidation>
    <dataValidation type="list" showInputMessage="1" showErrorMessage="1" sqref="C4" xr:uid="{00000000-0002-0000-0600-000009000000}">
      <formula1>"T&amp;M, Fixed Price, SELECT ONE"</formula1>
    </dataValidation>
    <dataValidation type="list" showInputMessage="1" showErrorMessage="1" sqref="C8" xr:uid="{00000000-0002-0000-0600-00000A000000}">
      <formula1>"Quote, Estimate, SELECT ONE"</formula1>
    </dataValidation>
    <dataValidation type="decimal" allowBlank="1" showInputMessage="1" showErrorMessage="1" sqref="F67" xr:uid="{00000000-0002-0000-0600-00000B000000}">
      <formula1>0</formula1>
      <formula2>1</formula2>
    </dataValidation>
  </dataValidations>
  <pageMargins left="0.75" right="0.75" top="1" bottom="1" header="0.5" footer="0.5"/>
  <pageSetup scale="57" fitToHeight="5" orientation="landscape" r:id="rId1"/>
  <headerFooter alignWithMargins="0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600-00000C000000}">
          <x14:formula1>
            <xm:f>gsrates!$A$64:$A$101</xm:f>
          </x14:formula1>
          <xm:sqref>A14:A47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4"/>
  <dimension ref="A1:AT140"/>
  <sheetViews>
    <sheetView workbookViewId="0">
      <pane xSplit="1" ySplit="2" topLeftCell="B3" activePane="bottomRight" state="frozen"/>
      <selection pane="topRight" activeCell="B1" sqref="B1"/>
      <selection pane="bottomLeft" activeCell="A3" sqref="A3"/>
      <selection pane="bottomRight" activeCell="A38" sqref="A38"/>
    </sheetView>
  </sheetViews>
  <sheetFormatPr defaultRowHeight="12.75" x14ac:dyDescent="0.2"/>
  <cols>
    <col min="1" max="1" width="28.1640625" bestFit="1" customWidth="1"/>
    <col min="40" max="41" width="10.1640625" bestFit="1" customWidth="1"/>
    <col min="44" max="44" width="9.33203125" style="253"/>
    <col min="45" max="45" width="9.33203125" style="254"/>
  </cols>
  <sheetData>
    <row r="1" spans="1:45" x14ac:dyDescent="0.2">
      <c r="B1" s="471" t="s">
        <v>132</v>
      </c>
      <c r="C1" s="471"/>
      <c r="D1" s="480" t="s">
        <v>260</v>
      </c>
      <c r="E1" s="481"/>
      <c r="F1" s="472" t="s">
        <v>168</v>
      </c>
      <c r="G1" s="473"/>
      <c r="H1" s="482" t="s">
        <v>261</v>
      </c>
      <c r="I1" s="483"/>
      <c r="J1" s="479" t="s">
        <v>169</v>
      </c>
      <c r="K1" s="476"/>
      <c r="L1" s="468" t="s">
        <v>174</v>
      </c>
      <c r="M1" s="469"/>
      <c r="N1" s="470" t="s">
        <v>171</v>
      </c>
      <c r="O1" s="471"/>
      <c r="P1" s="469" t="s">
        <v>146</v>
      </c>
      <c r="Q1" s="469"/>
      <c r="R1" s="472" t="s">
        <v>194</v>
      </c>
      <c r="S1" s="473"/>
      <c r="T1" s="476" t="s">
        <v>147</v>
      </c>
      <c r="U1" s="476"/>
      <c r="V1" s="471" t="s">
        <v>148</v>
      </c>
      <c r="W1" s="471"/>
      <c r="X1" s="468" t="s">
        <v>196</v>
      </c>
      <c r="Y1" s="469"/>
      <c r="Z1" s="470" t="s">
        <v>195</v>
      </c>
      <c r="AA1" s="471"/>
      <c r="AB1" s="472" t="s">
        <v>151</v>
      </c>
      <c r="AC1" s="473"/>
      <c r="AD1" s="472" t="s">
        <v>243</v>
      </c>
      <c r="AE1" s="473"/>
      <c r="AF1" s="468" t="s">
        <v>175</v>
      </c>
      <c r="AG1" s="469"/>
      <c r="AH1" s="470" t="s">
        <v>193</v>
      </c>
      <c r="AI1" s="471"/>
      <c r="AJ1" s="469" t="s">
        <v>149</v>
      </c>
      <c r="AK1" s="469"/>
      <c r="AL1" s="476" t="s">
        <v>150</v>
      </c>
      <c r="AM1" s="476"/>
      <c r="AN1" s="477" t="s">
        <v>262</v>
      </c>
      <c r="AO1" s="478"/>
      <c r="AP1" s="470" t="s">
        <v>156</v>
      </c>
      <c r="AQ1" s="471"/>
      <c r="AR1" s="474"/>
      <c r="AS1" s="475"/>
    </row>
    <row r="2" spans="1:45" x14ac:dyDescent="0.2">
      <c r="B2" s="179" t="s">
        <v>10</v>
      </c>
      <c r="C2" s="179" t="s">
        <v>57</v>
      </c>
      <c r="D2" s="452" t="s">
        <v>10</v>
      </c>
      <c r="E2" s="452" t="s">
        <v>57</v>
      </c>
      <c r="F2" s="176" t="s">
        <v>10</v>
      </c>
      <c r="G2" s="176" t="s">
        <v>57</v>
      </c>
      <c r="H2" s="454" t="s">
        <v>10</v>
      </c>
      <c r="I2" s="454" t="s">
        <v>57</v>
      </c>
      <c r="J2" s="177" t="s">
        <v>10</v>
      </c>
      <c r="K2" s="177" t="s">
        <v>57</v>
      </c>
      <c r="L2" s="182" t="s">
        <v>10</v>
      </c>
      <c r="M2" s="182" t="s">
        <v>57</v>
      </c>
      <c r="N2" s="179" t="s">
        <v>10</v>
      </c>
      <c r="O2" s="179" t="s">
        <v>57</v>
      </c>
      <c r="P2" s="182" t="s">
        <v>10</v>
      </c>
      <c r="Q2" s="182" t="s">
        <v>57</v>
      </c>
      <c r="R2" s="176" t="s">
        <v>10</v>
      </c>
      <c r="S2" s="176" t="s">
        <v>57</v>
      </c>
      <c r="T2" s="177" t="s">
        <v>10</v>
      </c>
      <c r="U2" s="177" t="s">
        <v>57</v>
      </c>
      <c r="V2" s="179" t="s">
        <v>10</v>
      </c>
      <c r="W2" s="179" t="s">
        <v>57</v>
      </c>
      <c r="X2" s="182" t="s">
        <v>10</v>
      </c>
      <c r="Y2" s="182" t="s">
        <v>57</v>
      </c>
      <c r="Z2" s="179" t="s">
        <v>10</v>
      </c>
      <c r="AA2" s="179" t="s">
        <v>57</v>
      </c>
      <c r="AB2" s="176" t="s">
        <v>10</v>
      </c>
      <c r="AC2" s="176" t="s">
        <v>57</v>
      </c>
      <c r="AD2" s="176" t="s">
        <v>10</v>
      </c>
      <c r="AE2" s="176" t="s">
        <v>57</v>
      </c>
      <c r="AF2" s="182" t="s">
        <v>10</v>
      </c>
      <c r="AG2" s="182" t="s">
        <v>57</v>
      </c>
      <c r="AH2" s="179" t="s">
        <v>10</v>
      </c>
      <c r="AI2" s="179" t="s">
        <v>57</v>
      </c>
      <c r="AJ2" s="182" t="s">
        <v>10</v>
      </c>
      <c r="AK2" s="182" t="s">
        <v>57</v>
      </c>
      <c r="AL2" s="177" t="s">
        <v>10</v>
      </c>
      <c r="AM2" s="177" t="s">
        <v>57</v>
      </c>
      <c r="AN2" s="456" t="s">
        <v>10</v>
      </c>
      <c r="AO2" s="456" t="s">
        <v>57</v>
      </c>
      <c r="AP2" s="179" t="s">
        <v>10</v>
      </c>
      <c r="AQ2" s="179" t="s">
        <v>57</v>
      </c>
      <c r="AR2" s="358"/>
      <c r="AS2" s="251"/>
    </row>
    <row r="3" spans="1:45" x14ac:dyDescent="0.2">
      <c r="A3" s="96" t="s">
        <v>205</v>
      </c>
      <c r="B3" s="180">
        <v>355</v>
      </c>
      <c r="C3" s="180">
        <v>180</v>
      </c>
      <c r="D3" s="453">
        <f>B3*66.48</f>
        <v>23600.400000000001</v>
      </c>
      <c r="E3" s="453">
        <f>C3*66.48</f>
        <v>11966.400000000001</v>
      </c>
      <c r="F3" s="181">
        <v>230</v>
      </c>
      <c r="G3" s="181">
        <v>187</v>
      </c>
      <c r="H3" s="455">
        <f>F3*11.9</f>
        <v>2737</v>
      </c>
      <c r="I3" s="455">
        <f>G3*11.9</f>
        <v>2225.3000000000002</v>
      </c>
      <c r="J3" s="184">
        <v>260</v>
      </c>
      <c r="K3" s="184">
        <v>211</v>
      </c>
      <c r="L3" s="187">
        <f>F3*1.604</f>
        <v>368.92</v>
      </c>
      <c r="M3" s="187">
        <f t="shared" ref="M3:M36" si="0">G3*1.24</f>
        <v>231.88</v>
      </c>
      <c r="N3" s="185">
        <v>225</v>
      </c>
      <c r="O3" s="185">
        <v>129</v>
      </c>
      <c r="P3" s="183">
        <v>250</v>
      </c>
      <c r="Q3" s="183">
        <v>216</v>
      </c>
      <c r="R3" s="186">
        <v>250</v>
      </c>
      <c r="S3" s="186">
        <v>216</v>
      </c>
      <c r="T3" s="184">
        <v>290</v>
      </c>
      <c r="U3" s="184">
        <v>174</v>
      </c>
      <c r="V3" s="185">
        <v>255</v>
      </c>
      <c r="W3" s="185">
        <v>140</v>
      </c>
      <c r="X3" s="183">
        <v>305</v>
      </c>
      <c r="Y3" s="183">
        <v>165</v>
      </c>
      <c r="Z3" s="185">
        <v>360</v>
      </c>
      <c r="AA3" s="185">
        <v>195</v>
      </c>
      <c r="AB3" s="186">
        <v>250</v>
      </c>
      <c r="AC3" s="186">
        <v>114</v>
      </c>
      <c r="AD3" s="372">
        <v>315</v>
      </c>
      <c r="AE3" s="372">
        <v>144</v>
      </c>
      <c r="AF3" s="187">
        <v>150</v>
      </c>
      <c r="AG3" s="187">
        <v>45</v>
      </c>
      <c r="AH3" s="198">
        <v>570</v>
      </c>
      <c r="AI3" s="198">
        <v>170</v>
      </c>
      <c r="AJ3" s="187">
        <v>360</v>
      </c>
      <c r="AK3" s="187">
        <v>311</v>
      </c>
      <c r="AL3" s="178">
        <v>300</v>
      </c>
      <c r="AM3" s="178">
        <v>238</v>
      </c>
      <c r="AN3" s="457">
        <f>AL3*13870</f>
        <v>4161000</v>
      </c>
      <c r="AO3" s="457">
        <f>AM3*13870</f>
        <v>3301060</v>
      </c>
      <c r="AP3" s="198">
        <v>25000</v>
      </c>
      <c r="AQ3" s="198">
        <v>25000</v>
      </c>
      <c r="AS3" s="252"/>
    </row>
    <row r="4" spans="1:45" x14ac:dyDescent="0.2">
      <c r="A4" s="96" t="s">
        <v>206</v>
      </c>
      <c r="B4" s="180">
        <v>325</v>
      </c>
      <c r="C4" s="180">
        <v>143</v>
      </c>
      <c r="D4" s="453">
        <f t="shared" ref="D4:D39" si="1">B4*66.48</f>
        <v>21606</v>
      </c>
      <c r="E4" s="453">
        <f t="shared" ref="E4:E39" si="2">C4*66.48</f>
        <v>9506.6400000000012</v>
      </c>
      <c r="F4" s="181">
        <v>210</v>
      </c>
      <c r="G4" s="181">
        <v>92</v>
      </c>
      <c r="H4" s="455">
        <f t="shared" ref="H4:H39" si="3">F4*11.9</f>
        <v>2499</v>
      </c>
      <c r="I4" s="455">
        <f t="shared" ref="I4:I39" si="4">G4*11.9</f>
        <v>1094.8</v>
      </c>
      <c r="J4" s="184">
        <v>240</v>
      </c>
      <c r="K4" s="184">
        <v>104</v>
      </c>
      <c r="L4" s="187">
        <f t="shared" ref="L4:L21" si="5">F4*1.604</f>
        <v>336.84000000000003</v>
      </c>
      <c r="M4" s="187">
        <f t="shared" si="0"/>
        <v>114.08</v>
      </c>
      <c r="N4" s="185">
        <v>210</v>
      </c>
      <c r="O4" s="185">
        <v>55</v>
      </c>
      <c r="P4" s="183">
        <v>200</v>
      </c>
      <c r="Q4" s="183">
        <v>69</v>
      </c>
      <c r="R4" s="186">
        <v>200</v>
      </c>
      <c r="S4" s="186">
        <v>69</v>
      </c>
      <c r="T4" s="184">
        <v>215</v>
      </c>
      <c r="U4" s="184">
        <v>101</v>
      </c>
      <c r="V4" s="185">
        <v>230</v>
      </c>
      <c r="W4" s="185">
        <v>73</v>
      </c>
      <c r="X4" s="183">
        <v>275</v>
      </c>
      <c r="Y4" s="183">
        <v>163</v>
      </c>
      <c r="Z4" s="185">
        <v>325</v>
      </c>
      <c r="AA4" s="185">
        <v>191</v>
      </c>
      <c r="AB4" s="186">
        <v>225</v>
      </c>
      <c r="AC4" s="186">
        <v>79</v>
      </c>
      <c r="AD4" s="372">
        <v>280</v>
      </c>
      <c r="AE4" s="372">
        <v>92</v>
      </c>
      <c r="AF4" s="187">
        <v>140</v>
      </c>
      <c r="AG4" s="187">
        <v>79</v>
      </c>
      <c r="AH4" s="198">
        <v>532</v>
      </c>
      <c r="AI4" s="198">
        <v>299</v>
      </c>
      <c r="AJ4" s="187">
        <v>330</v>
      </c>
      <c r="AK4" s="187">
        <v>158</v>
      </c>
      <c r="AL4" s="178">
        <v>225</v>
      </c>
      <c r="AM4" s="178">
        <v>118</v>
      </c>
      <c r="AN4" s="457">
        <f t="shared" ref="AN4:AN39" si="6">AL4*13870</f>
        <v>3120750</v>
      </c>
      <c r="AO4" s="457">
        <f t="shared" ref="AO4:AO39" si="7">AM4*13870</f>
        <v>1636660</v>
      </c>
      <c r="AP4" s="198">
        <v>23005</v>
      </c>
      <c r="AQ4" s="198">
        <v>14412</v>
      </c>
      <c r="AS4" s="252"/>
    </row>
    <row r="5" spans="1:45" x14ac:dyDescent="0.2">
      <c r="A5" s="96" t="s">
        <v>207</v>
      </c>
      <c r="B5" s="180">
        <v>330</v>
      </c>
      <c r="C5" s="180">
        <v>140</v>
      </c>
      <c r="D5" s="453">
        <f t="shared" si="1"/>
        <v>21938.400000000001</v>
      </c>
      <c r="E5" s="453">
        <f t="shared" si="2"/>
        <v>9307.2000000000007</v>
      </c>
      <c r="F5" s="181">
        <v>230</v>
      </c>
      <c r="G5" s="181">
        <v>94</v>
      </c>
      <c r="H5" s="455">
        <f t="shared" si="3"/>
        <v>2737</v>
      </c>
      <c r="I5" s="455">
        <f t="shared" si="4"/>
        <v>1118.6000000000001</v>
      </c>
      <c r="J5" s="184">
        <v>260</v>
      </c>
      <c r="K5" s="184">
        <v>106</v>
      </c>
      <c r="L5" s="187">
        <f t="shared" si="5"/>
        <v>368.92</v>
      </c>
      <c r="M5" s="187">
        <f t="shared" si="0"/>
        <v>116.56</v>
      </c>
      <c r="N5" s="185">
        <v>225</v>
      </c>
      <c r="O5" s="185">
        <v>56</v>
      </c>
      <c r="P5" s="183">
        <v>250</v>
      </c>
      <c r="Q5" s="183">
        <v>70</v>
      </c>
      <c r="R5" s="186">
        <v>250</v>
      </c>
      <c r="S5" s="186">
        <v>70</v>
      </c>
      <c r="T5" s="184">
        <v>290</v>
      </c>
      <c r="U5" s="184">
        <v>102</v>
      </c>
      <c r="V5" s="185">
        <v>255</v>
      </c>
      <c r="W5" s="185">
        <v>74</v>
      </c>
      <c r="X5" s="183">
        <v>305</v>
      </c>
      <c r="Y5" s="183">
        <v>136</v>
      </c>
      <c r="Z5" s="185">
        <v>360</v>
      </c>
      <c r="AA5" s="185">
        <v>159</v>
      </c>
      <c r="AB5" s="186">
        <v>250</v>
      </c>
      <c r="AC5" s="186">
        <v>80</v>
      </c>
      <c r="AD5" s="372">
        <v>315</v>
      </c>
      <c r="AE5" s="372">
        <v>94</v>
      </c>
      <c r="AF5" s="187">
        <v>150</v>
      </c>
      <c r="AG5" s="187">
        <v>80</v>
      </c>
      <c r="AH5" s="198">
        <v>570</v>
      </c>
      <c r="AI5" s="198">
        <v>304</v>
      </c>
      <c r="AJ5" s="187">
        <v>330</v>
      </c>
      <c r="AK5" s="187">
        <v>165</v>
      </c>
      <c r="AL5" s="178">
        <v>250</v>
      </c>
      <c r="AM5" s="178">
        <v>136</v>
      </c>
      <c r="AN5" s="457">
        <f t="shared" si="6"/>
        <v>3467500</v>
      </c>
      <c r="AO5" s="457">
        <f t="shared" si="7"/>
        <v>1886320</v>
      </c>
      <c r="AP5" s="198">
        <v>23005</v>
      </c>
      <c r="AQ5" s="198">
        <v>10135</v>
      </c>
      <c r="AS5" s="252"/>
    </row>
    <row r="6" spans="1:45" x14ac:dyDescent="0.2">
      <c r="A6" s="96" t="s">
        <v>208</v>
      </c>
      <c r="B6" s="180">
        <v>330</v>
      </c>
      <c r="C6" s="180">
        <v>183</v>
      </c>
      <c r="D6" s="453">
        <f t="shared" si="1"/>
        <v>21938.400000000001</v>
      </c>
      <c r="E6" s="453">
        <f t="shared" si="2"/>
        <v>12165.84</v>
      </c>
      <c r="F6" s="181">
        <v>230</v>
      </c>
      <c r="G6" s="181">
        <v>96</v>
      </c>
      <c r="H6" s="455">
        <f t="shared" si="3"/>
        <v>2737</v>
      </c>
      <c r="I6" s="455">
        <f t="shared" si="4"/>
        <v>1142.4000000000001</v>
      </c>
      <c r="J6" s="184">
        <v>260</v>
      </c>
      <c r="K6" s="184">
        <v>108</v>
      </c>
      <c r="L6" s="187">
        <v>361</v>
      </c>
      <c r="M6" s="187">
        <f t="shared" si="0"/>
        <v>119.03999999999999</v>
      </c>
      <c r="N6" s="185">
        <v>225</v>
      </c>
      <c r="O6" s="185">
        <v>58</v>
      </c>
      <c r="P6" s="183">
        <v>250</v>
      </c>
      <c r="Q6" s="183">
        <v>71</v>
      </c>
      <c r="R6" s="186">
        <v>250</v>
      </c>
      <c r="S6" s="186">
        <v>71</v>
      </c>
      <c r="T6" s="184">
        <v>290</v>
      </c>
      <c r="U6" s="184">
        <v>105</v>
      </c>
      <c r="V6" s="185">
        <v>255</v>
      </c>
      <c r="W6" s="185">
        <v>76</v>
      </c>
      <c r="X6" s="183">
        <v>305</v>
      </c>
      <c r="Y6" s="183">
        <v>133</v>
      </c>
      <c r="Z6" s="185">
        <v>360</v>
      </c>
      <c r="AA6" s="185">
        <v>156</v>
      </c>
      <c r="AB6" s="186">
        <v>250</v>
      </c>
      <c r="AC6" s="186">
        <v>82</v>
      </c>
      <c r="AD6" s="372">
        <v>315</v>
      </c>
      <c r="AE6" s="372">
        <v>96</v>
      </c>
      <c r="AF6" s="187">
        <v>150</v>
      </c>
      <c r="AG6" s="187">
        <v>82</v>
      </c>
      <c r="AH6" s="198">
        <v>570</v>
      </c>
      <c r="AI6" s="198">
        <v>311</v>
      </c>
      <c r="AJ6" s="187">
        <v>330</v>
      </c>
      <c r="AK6" s="187">
        <v>160</v>
      </c>
      <c r="AL6" s="178">
        <v>250</v>
      </c>
      <c r="AM6" s="178">
        <v>136</v>
      </c>
      <c r="AN6" s="457">
        <f t="shared" si="6"/>
        <v>3467500</v>
      </c>
      <c r="AO6" s="457">
        <f t="shared" si="7"/>
        <v>1886320</v>
      </c>
      <c r="AP6" s="198">
        <v>23005</v>
      </c>
      <c r="AQ6" s="198">
        <v>10135</v>
      </c>
      <c r="AS6" s="252"/>
    </row>
    <row r="7" spans="1:45" x14ac:dyDescent="0.2">
      <c r="A7" s="96" t="s">
        <v>209</v>
      </c>
      <c r="B7" s="180">
        <v>325</v>
      </c>
      <c r="C7" s="180">
        <v>116</v>
      </c>
      <c r="D7" s="453">
        <f t="shared" si="1"/>
        <v>21606</v>
      </c>
      <c r="E7" s="453">
        <f t="shared" si="2"/>
        <v>7711.68</v>
      </c>
      <c r="F7" s="181">
        <v>210</v>
      </c>
      <c r="G7" s="181">
        <v>89</v>
      </c>
      <c r="H7" s="455">
        <f t="shared" si="3"/>
        <v>2499</v>
      </c>
      <c r="I7" s="455">
        <f t="shared" si="4"/>
        <v>1059.1000000000001</v>
      </c>
      <c r="J7" s="184">
        <v>240</v>
      </c>
      <c r="K7" s="184">
        <v>101</v>
      </c>
      <c r="L7" s="187">
        <f t="shared" si="5"/>
        <v>336.84000000000003</v>
      </c>
      <c r="M7" s="187">
        <f t="shared" si="0"/>
        <v>110.36</v>
      </c>
      <c r="N7" s="185">
        <v>210</v>
      </c>
      <c r="O7" s="185">
        <v>53</v>
      </c>
      <c r="P7" s="183">
        <v>200</v>
      </c>
      <c r="Q7" s="183">
        <v>66</v>
      </c>
      <c r="R7" s="186">
        <v>200</v>
      </c>
      <c r="S7" s="186">
        <v>66</v>
      </c>
      <c r="T7" s="184">
        <v>215</v>
      </c>
      <c r="U7" s="184">
        <v>97</v>
      </c>
      <c r="V7" s="185">
        <v>230</v>
      </c>
      <c r="W7" s="185">
        <v>70</v>
      </c>
      <c r="X7" s="183">
        <v>275</v>
      </c>
      <c r="Y7" s="183">
        <v>119</v>
      </c>
      <c r="Z7" s="185">
        <v>325</v>
      </c>
      <c r="AA7" s="185">
        <v>139</v>
      </c>
      <c r="AB7" s="186">
        <v>225</v>
      </c>
      <c r="AC7" s="186">
        <v>76</v>
      </c>
      <c r="AD7" s="372">
        <v>280</v>
      </c>
      <c r="AE7" s="372">
        <v>89</v>
      </c>
      <c r="AF7" s="187">
        <v>140</v>
      </c>
      <c r="AG7" s="187">
        <v>76</v>
      </c>
      <c r="AH7" s="198">
        <v>532</v>
      </c>
      <c r="AI7" s="198">
        <v>288</v>
      </c>
      <c r="AJ7" s="187">
        <v>330</v>
      </c>
      <c r="AK7" s="187">
        <v>134</v>
      </c>
      <c r="AL7" s="178">
        <v>225</v>
      </c>
      <c r="AM7" s="178">
        <v>95</v>
      </c>
      <c r="AN7" s="457">
        <f t="shared" si="6"/>
        <v>3120750</v>
      </c>
      <c r="AO7" s="457">
        <f t="shared" si="7"/>
        <v>1317650</v>
      </c>
      <c r="AP7" s="198">
        <v>21750</v>
      </c>
      <c r="AQ7" s="198">
        <v>9803</v>
      </c>
      <c r="AS7" s="252"/>
    </row>
    <row r="8" spans="1:45" x14ac:dyDescent="0.2">
      <c r="A8" s="96" t="s">
        <v>210</v>
      </c>
      <c r="B8" s="180">
        <v>325</v>
      </c>
      <c r="C8" s="180">
        <v>121</v>
      </c>
      <c r="D8" s="453">
        <f t="shared" si="1"/>
        <v>21606</v>
      </c>
      <c r="E8" s="453">
        <f t="shared" si="2"/>
        <v>8044.0800000000008</v>
      </c>
      <c r="F8" s="181">
        <v>210</v>
      </c>
      <c r="G8" s="181">
        <v>76</v>
      </c>
      <c r="H8" s="455">
        <f t="shared" si="3"/>
        <v>2499</v>
      </c>
      <c r="I8" s="455">
        <f t="shared" si="4"/>
        <v>904.4</v>
      </c>
      <c r="J8" s="184">
        <v>240</v>
      </c>
      <c r="K8" s="184">
        <v>86</v>
      </c>
      <c r="L8" s="187">
        <f t="shared" si="5"/>
        <v>336.84000000000003</v>
      </c>
      <c r="M8" s="187">
        <f t="shared" si="0"/>
        <v>94.24</v>
      </c>
      <c r="N8" s="185">
        <v>210</v>
      </c>
      <c r="O8" s="185">
        <v>46</v>
      </c>
      <c r="P8" s="183">
        <v>200</v>
      </c>
      <c r="Q8" s="183">
        <v>57</v>
      </c>
      <c r="R8" s="186">
        <v>200</v>
      </c>
      <c r="S8" s="186">
        <v>57</v>
      </c>
      <c r="T8" s="184">
        <v>215</v>
      </c>
      <c r="U8" s="184">
        <v>83</v>
      </c>
      <c r="V8" s="185">
        <v>230</v>
      </c>
      <c r="W8" s="185">
        <v>60</v>
      </c>
      <c r="X8" s="183">
        <v>275</v>
      </c>
      <c r="Y8" s="183">
        <v>113</v>
      </c>
      <c r="Z8" s="185">
        <v>325</v>
      </c>
      <c r="AA8" s="185">
        <v>133</v>
      </c>
      <c r="AB8" s="186">
        <v>225</v>
      </c>
      <c r="AC8" s="186">
        <v>65</v>
      </c>
      <c r="AD8" s="372">
        <v>280</v>
      </c>
      <c r="AE8" s="372">
        <v>76</v>
      </c>
      <c r="AF8" s="187">
        <v>140</v>
      </c>
      <c r="AG8" s="187">
        <v>65</v>
      </c>
      <c r="AH8" s="198">
        <v>532</v>
      </c>
      <c r="AI8" s="198">
        <v>247</v>
      </c>
      <c r="AJ8" s="187">
        <v>330</v>
      </c>
      <c r="AK8" s="187">
        <v>130</v>
      </c>
      <c r="AL8" s="178">
        <v>225</v>
      </c>
      <c r="AM8" s="178">
        <v>95</v>
      </c>
      <c r="AN8" s="457">
        <f t="shared" si="6"/>
        <v>3120750</v>
      </c>
      <c r="AO8" s="457">
        <f t="shared" si="7"/>
        <v>1317650</v>
      </c>
      <c r="AP8" s="198">
        <v>21750</v>
      </c>
      <c r="AQ8" s="198">
        <v>8766</v>
      </c>
      <c r="AS8" s="252"/>
    </row>
    <row r="9" spans="1:45" x14ac:dyDescent="0.2">
      <c r="A9" s="96" t="s">
        <v>211</v>
      </c>
      <c r="B9" s="180">
        <v>295</v>
      </c>
      <c r="C9" s="180">
        <v>97</v>
      </c>
      <c r="D9" s="453">
        <f t="shared" si="1"/>
        <v>19611.600000000002</v>
      </c>
      <c r="E9" s="453">
        <f t="shared" si="2"/>
        <v>6448.56</v>
      </c>
      <c r="F9" s="181">
        <v>190</v>
      </c>
      <c r="G9" s="181">
        <v>65</v>
      </c>
      <c r="H9" s="455">
        <f t="shared" si="3"/>
        <v>2261</v>
      </c>
      <c r="I9" s="455">
        <f t="shared" si="4"/>
        <v>773.5</v>
      </c>
      <c r="J9" s="184">
        <v>215</v>
      </c>
      <c r="K9" s="184">
        <v>73</v>
      </c>
      <c r="L9" s="187">
        <f t="shared" si="5"/>
        <v>304.76</v>
      </c>
      <c r="M9" s="187">
        <f t="shared" si="0"/>
        <v>80.599999999999994</v>
      </c>
      <c r="N9" s="185">
        <v>190</v>
      </c>
      <c r="O9" s="185">
        <v>39</v>
      </c>
      <c r="P9" s="183">
        <v>175</v>
      </c>
      <c r="Q9" s="183">
        <v>49</v>
      </c>
      <c r="R9" s="186">
        <v>175</v>
      </c>
      <c r="S9" s="186">
        <v>49</v>
      </c>
      <c r="T9" s="184">
        <v>175</v>
      </c>
      <c r="U9" s="184">
        <v>71</v>
      </c>
      <c r="V9" s="185">
        <v>200</v>
      </c>
      <c r="W9" s="185">
        <v>51</v>
      </c>
      <c r="X9" s="183">
        <v>240</v>
      </c>
      <c r="Y9" s="183">
        <v>106</v>
      </c>
      <c r="Z9" s="185">
        <v>285</v>
      </c>
      <c r="AA9" s="185">
        <v>125</v>
      </c>
      <c r="AB9" s="186">
        <v>195</v>
      </c>
      <c r="AC9" s="186">
        <v>56</v>
      </c>
      <c r="AD9" s="372">
        <v>245</v>
      </c>
      <c r="AE9" s="372">
        <v>65</v>
      </c>
      <c r="AF9" s="187">
        <v>120</v>
      </c>
      <c r="AG9" s="187">
        <v>56</v>
      </c>
      <c r="AH9" s="198">
        <v>456</v>
      </c>
      <c r="AI9" s="198">
        <v>212</v>
      </c>
      <c r="AJ9" s="187">
        <v>290</v>
      </c>
      <c r="AK9" s="187">
        <v>121</v>
      </c>
      <c r="AL9" s="178">
        <v>200</v>
      </c>
      <c r="AM9" s="178">
        <v>85</v>
      </c>
      <c r="AN9" s="457">
        <f t="shared" si="6"/>
        <v>2774000</v>
      </c>
      <c r="AO9" s="457">
        <f t="shared" si="7"/>
        <v>1178950</v>
      </c>
      <c r="AP9" s="198">
        <v>18820</v>
      </c>
      <c r="AQ9" s="198">
        <v>8427</v>
      </c>
      <c r="AS9" s="252"/>
    </row>
    <row r="10" spans="1:45" x14ac:dyDescent="0.2">
      <c r="A10" s="96" t="s">
        <v>212</v>
      </c>
      <c r="B10" s="180">
        <v>295</v>
      </c>
      <c r="C10" s="180">
        <v>99</v>
      </c>
      <c r="D10" s="453">
        <f t="shared" si="1"/>
        <v>19611.600000000002</v>
      </c>
      <c r="E10" s="453">
        <f t="shared" si="2"/>
        <v>6581.52</v>
      </c>
      <c r="F10" s="181">
        <v>190</v>
      </c>
      <c r="G10" s="181">
        <v>64</v>
      </c>
      <c r="H10" s="455">
        <f t="shared" si="3"/>
        <v>2261</v>
      </c>
      <c r="I10" s="455">
        <f t="shared" si="4"/>
        <v>761.6</v>
      </c>
      <c r="J10" s="184">
        <v>215</v>
      </c>
      <c r="K10" s="184">
        <v>72</v>
      </c>
      <c r="L10" s="187">
        <f t="shared" si="5"/>
        <v>304.76</v>
      </c>
      <c r="M10" s="187">
        <f t="shared" si="0"/>
        <v>79.36</v>
      </c>
      <c r="N10" s="185">
        <v>190</v>
      </c>
      <c r="O10" s="185">
        <v>39</v>
      </c>
      <c r="P10" s="183">
        <v>175</v>
      </c>
      <c r="Q10" s="183">
        <v>48</v>
      </c>
      <c r="R10" s="186">
        <v>175</v>
      </c>
      <c r="S10" s="186">
        <v>48</v>
      </c>
      <c r="T10" s="184">
        <v>175</v>
      </c>
      <c r="U10" s="184">
        <v>70</v>
      </c>
      <c r="V10" s="185">
        <v>200</v>
      </c>
      <c r="W10" s="185">
        <v>51</v>
      </c>
      <c r="X10" s="183">
        <v>240</v>
      </c>
      <c r="Y10" s="183">
        <v>96</v>
      </c>
      <c r="Z10" s="185">
        <v>285</v>
      </c>
      <c r="AA10" s="185">
        <v>113</v>
      </c>
      <c r="AB10" s="186">
        <v>195</v>
      </c>
      <c r="AC10" s="186">
        <v>55</v>
      </c>
      <c r="AD10" s="372">
        <v>245</v>
      </c>
      <c r="AE10" s="372">
        <v>64</v>
      </c>
      <c r="AF10" s="187">
        <v>120</v>
      </c>
      <c r="AG10" s="187">
        <v>55</v>
      </c>
      <c r="AH10" s="198">
        <v>456</v>
      </c>
      <c r="AI10" s="198">
        <v>208</v>
      </c>
      <c r="AJ10" s="187">
        <v>290</v>
      </c>
      <c r="AK10" s="187">
        <v>122</v>
      </c>
      <c r="AL10" s="178">
        <v>200</v>
      </c>
      <c r="AM10" s="178">
        <v>85</v>
      </c>
      <c r="AN10" s="457">
        <f t="shared" si="6"/>
        <v>2774000</v>
      </c>
      <c r="AO10" s="457">
        <f t="shared" si="7"/>
        <v>1178950</v>
      </c>
      <c r="AP10" s="198">
        <v>18820</v>
      </c>
      <c r="AQ10" s="198">
        <v>8427</v>
      </c>
      <c r="AS10" s="252"/>
    </row>
    <row r="11" spans="1:45" x14ac:dyDescent="0.2">
      <c r="A11" s="96" t="s">
        <v>213</v>
      </c>
      <c r="B11" s="180">
        <v>260</v>
      </c>
      <c r="C11" s="180">
        <v>72</v>
      </c>
      <c r="D11" s="453">
        <f t="shared" si="1"/>
        <v>17284.8</v>
      </c>
      <c r="E11" s="453">
        <f t="shared" si="2"/>
        <v>4786.5600000000004</v>
      </c>
      <c r="F11" s="181">
        <v>125</v>
      </c>
      <c r="G11" s="181">
        <v>54</v>
      </c>
      <c r="H11" s="455">
        <f t="shared" si="3"/>
        <v>1487.5</v>
      </c>
      <c r="I11" s="455">
        <f t="shared" si="4"/>
        <v>642.6</v>
      </c>
      <c r="J11" s="184">
        <v>140</v>
      </c>
      <c r="K11" s="184">
        <v>61</v>
      </c>
      <c r="L11" s="187">
        <f t="shared" si="5"/>
        <v>200.5</v>
      </c>
      <c r="M11" s="187">
        <f t="shared" si="0"/>
        <v>66.959999999999994</v>
      </c>
      <c r="N11" s="185">
        <v>100</v>
      </c>
      <c r="O11" s="185">
        <v>33</v>
      </c>
      <c r="P11" s="183">
        <v>125</v>
      </c>
      <c r="Q11" s="183">
        <v>40</v>
      </c>
      <c r="R11" s="186">
        <v>125</v>
      </c>
      <c r="S11" s="186">
        <v>40</v>
      </c>
      <c r="T11" s="184">
        <v>125</v>
      </c>
      <c r="U11" s="184">
        <v>59</v>
      </c>
      <c r="V11" s="185">
        <v>150</v>
      </c>
      <c r="W11" s="185">
        <v>43</v>
      </c>
      <c r="X11" s="183">
        <v>180</v>
      </c>
      <c r="Y11" s="183">
        <v>62</v>
      </c>
      <c r="Z11" s="185">
        <v>210</v>
      </c>
      <c r="AA11" s="185">
        <v>73</v>
      </c>
      <c r="AB11" s="186">
        <v>150</v>
      </c>
      <c r="AC11" s="186">
        <v>47</v>
      </c>
      <c r="AD11" s="372">
        <v>190</v>
      </c>
      <c r="AE11" s="372">
        <v>54</v>
      </c>
      <c r="AF11" s="187">
        <v>100</v>
      </c>
      <c r="AG11" s="187">
        <v>46</v>
      </c>
      <c r="AH11" s="198">
        <v>380</v>
      </c>
      <c r="AI11" s="198">
        <v>176</v>
      </c>
      <c r="AJ11" s="187">
        <v>215</v>
      </c>
      <c r="AK11" s="187">
        <v>91</v>
      </c>
      <c r="AL11" s="178">
        <v>160</v>
      </c>
      <c r="AM11" s="178">
        <v>52</v>
      </c>
      <c r="AN11" s="457">
        <f t="shared" si="6"/>
        <v>2219200</v>
      </c>
      <c r="AO11" s="457">
        <f t="shared" si="7"/>
        <v>721240</v>
      </c>
      <c r="AP11" s="198">
        <v>16000</v>
      </c>
      <c r="AQ11" s="198">
        <v>5695</v>
      </c>
      <c r="AS11" s="252"/>
    </row>
    <row r="12" spans="1:45" x14ac:dyDescent="0.2">
      <c r="A12" s="96" t="s">
        <v>214</v>
      </c>
      <c r="B12" s="180">
        <v>210</v>
      </c>
      <c r="C12" s="180">
        <v>65</v>
      </c>
      <c r="D12" s="453">
        <f t="shared" si="1"/>
        <v>13960.800000000001</v>
      </c>
      <c r="E12" s="453">
        <f t="shared" si="2"/>
        <v>4321.2</v>
      </c>
      <c r="F12" s="181">
        <v>85</v>
      </c>
      <c r="G12" s="181">
        <v>34</v>
      </c>
      <c r="H12" s="455">
        <f t="shared" si="3"/>
        <v>1011.5</v>
      </c>
      <c r="I12" s="455">
        <f t="shared" si="4"/>
        <v>404.6</v>
      </c>
      <c r="J12" s="184">
        <v>95</v>
      </c>
      <c r="K12" s="184">
        <v>38</v>
      </c>
      <c r="L12" s="187">
        <f t="shared" si="5"/>
        <v>136.34</v>
      </c>
      <c r="M12" s="187">
        <f t="shared" si="0"/>
        <v>42.16</v>
      </c>
      <c r="N12" s="185">
        <v>75</v>
      </c>
      <c r="O12" s="185">
        <v>20</v>
      </c>
      <c r="P12" s="183">
        <v>75</v>
      </c>
      <c r="Q12" s="183">
        <v>25</v>
      </c>
      <c r="R12" s="186">
        <v>75</v>
      </c>
      <c r="S12" s="186">
        <v>25</v>
      </c>
      <c r="T12" s="184">
        <v>75</v>
      </c>
      <c r="U12" s="184">
        <v>37</v>
      </c>
      <c r="V12" s="185">
        <v>95</v>
      </c>
      <c r="W12" s="185">
        <v>27</v>
      </c>
      <c r="X12" s="183">
        <v>115</v>
      </c>
      <c r="Y12" s="183">
        <v>50</v>
      </c>
      <c r="Z12" s="185">
        <v>130</v>
      </c>
      <c r="AA12" s="185">
        <v>58</v>
      </c>
      <c r="AB12" s="186">
        <v>125</v>
      </c>
      <c r="AC12" s="186">
        <v>29</v>
      </c>
      <c r="AD12" s="372">
        <v>155</v>
      </c>
      <c r="AE12" s="372">
        <v>34</v>
      </c>
      <c r="AF12" s="187">
        <v>75</v>
      </c>
      <c r="AG12" s="187">
        <v>29</v>
      </c>
      <c r="AH12" s="198">
        <v>285</v>
      </c>
      <c r="AI12" s="198">
        <v>110</v>
      </c>
      <c r="AJ12" s="187">
        <v>190</v>
      </c>
      <c r="AK12" s="187">
        <v>60</v>
      </c>
      <c r="AL12" s="178">
        <v>140</v>
      </c>
      <c r="AM12" s="178">
        <v>39</v>
      </c>
      <c r="AN12" s="457">
        <f t="shared" si="6"/>
        <v>1941800</v>
      </c>
      <c r="AO12" s="457">
        <f t="shared" si="7"/>
        <v>540930</v>
      </c>
      <c r="AP12" s="198">
        <v>14000</v>
      </c>
      <c r="AQ12" s="198">
        <v>3000</v>
      </c>
      <c r="AS12" s="252"/>
    </row>
    <row r="13" spans="1:45" x14ac:dyDescent="0.2">
      <c r="A13" s="96" t="s">
        <v>215</v>
      </c>
      <c r="B13" s="180">
        <v>330</v>
      </c>
      <c r="C13" s="180">
        <v>134</v>
      </c>
      <c r="D13" s="453">
        <f t="shared" si="1"/>
        <v>21938.400000000001</v>
      </c>
      <c r="E13" s="453">
        <f t="shared" si="2"/>
        <v>8908.32</v>
      </c>
      <c r="F13" s="181">
        <v>230</v>
      </c>
      <c r="G13" s="181">
        <v>92</v>
      </c>
      <c r="H13" s="455">
        <f t="shared" si="3"/>
        <v>2737</v>
      </c>
      <c r="I13" s="455">
        <f t="shared" si="4"/>
        <v>1094.8</v>
      </c>
      <c r="J13" s="184">
        <v>260</v>
      </c>
      <c r="K13" s="184">
        <v>104</v>
      </c>
      <c r="L13" s="187">
        <f t="shared" si="5"/>
        <v>368.92</v>
      </c>
      <c r="M13" s="187">
        <f t="shared" si="0"/>
        <v>114.08</v>
      </c>
      <c r="N13" s="185">
        <v>225</v>
      </c>
      <c r="O13" s="185">
        <v>58</v>
      </c>
      <c r="P13" s="183">
        <v>250</v>
      </c>
      <c r="Q13" s="183">
        <v>68</v>
      </c>
      <c r="R13" s="186">
        <v>250</v>
      </c>
      <c r="S13" s="186">
        <v>68</v>
      </c>
      <c r="T13" s="184">
        <v>290</v>
      </c>
      <c r="U13" s="184">
        <v>100</v>
      </c>
      <c r="V13" s="185">
        <v>255</v>
      </c>
      <c r="W13" s="185">
        <v>72</v>
      </c>
      <c r="X13" s="183">
        <v>305</v>
      </c>
      <c r="Y13" s="183">
        <v>135</v>
      </c>
      <c r="Z13" s="185">
        <v>360</v>
      </c>
      <c r="AA13" s="185">
        <v>158</v>
      </c>
      <c r="AB13" s="186">
        <v>250</v>
      </c>
      <c r="AC13" s="186">
        <v>79</v>
      </c>
      <c r="AD13" s="372">
        <v>315</v>
      </c>
      <c r="AE13" s="372">
        <v>92</v>
      </c>
      <c r="AF13" s="187">
        <v>150</v>
      </c>
      <c r="AG13" s="187">
        <v>78</v>
      </c>
      <c r="AH13" s="198">
        <v>570</v>
      </c>
      <c r="AI13" s="198">
        <v>298</v>
      </c>
      <c r="AJ13" s="187">
        <v>330</v>
      </c>
      <c r="AK13" s="187">
        <v>165</v>
      </c>
      <c r="AL13" s="178">
        <v>250</v>
      </c>
      <c r="AM13" s="178">
        <v>136</v>
      </c>
      <c r="AN13" s="457">
        <f t="shared" si="6"/>
        <v>3467500</v>
      </c>
      <c r="AO13" s="457">
        <f t="shared" si="7"/>
        <v>1886320</v>
      </c>
      <c r="AP13" s="198">
        <v>23005</v>
      </c>
      <c r="AQ13" s="198">
        <v>10135</v>
      </c>
      <c r="AS13" s="252"/>
    </row>
    <row r="14" spans="1:45" x14ac:dyDescent="0.2">
      <c r="A14" s="190" t="s">
        <v>216</v>
      </c>
      <c r="B14" s="180">
        <v>325</v>
      </c>
      <c r="C14" s="180">
        <v>117</v>
      </c>
      <c r="D14" s="453">
        <f t="shared" si="1"/>
        <v>21606</v>
      </c>
      <c r="E14" s="453">
        <f t="shared" si="2"/>
        <v>7778.1600000000008</v>
      </c>
      <c r="F14" s="181">
        <v>210</v>
      </c>
      <c r="G14" s="181">
        <v>68</v>
      </c>
      <c r="H14" s="455">
        <f t="shared" si="3"/>
        <v>2499</v>
      </c>
      <c r="I14" s="455">
        <f t="shared" si="4"/>
        <v>809.2</v>
      </c>
      <c r="J14" s="184">
        <v>240</v>
      </c>
      <c r="K14" s="184">
        <v>77</v>
      </c>
      <c r="L14" s="187">
        <f t="shared" si="5"/>
        <v>336.84000000000003</v>
      </c>
      <c r="M14" s="187">
        <f t="shared" si="0"/>
        <v>84.32</v>
      </c>
      <c r="N14" s="185">
        <v>210</v>
      </c>
      <c r="O14" s="185">
        <v>41</v>
      </c>
      <c r="P14" s="183">
        <v>200</v>
      </c>
      <c r="Q14" s="183">
        <v>51</v>
      </c>
      <c r="R14" s="186">
        <v>200</v>
      </c>
      <c r="S14" s="186">
        <v>51</v>
      </c>
      <c r="T14" s="184">
        <v>215</v>
      </c>
      <c r="U14" s="184">
        <v>74</v>
      </c>
      <c r="V14" s="185">
        <v>230</v>
      </c>
      <c r="W14" s="185">
        <v>54</v>
      </c>
      <c r="X14" s="183">
        <v>275</v>
      </c>
      <c r="Y14" s="183">
        <v>102</v>
      </c>
      <c r="Z14" s="185">
        <v>325</v>
      </c>
      <c r="AA14" s="185">
        <v>119</v>
      </c>
      <c r="AB14" s="186">
        <v>225</v>
      </c>
      <c r="AC14" s="186">
        <v>58</v>
      </c>
      <c r="AD14" s="372">
        <v>280</v>
      </c>
      <c r="AE14" s="372">
        <v>68</v>
      </c>
      <c r="AF14" s="187">
        <v>140</v>
      </c>
      <c r="AG14" s="187">
        <v>58</v>
      </c>
      <c r="AH14" s="198">
        <v>532</v>
      </c>
      <c r="AI14" s="198">
        <v>221</v>
      </c>
      <c r="AJ14" s="187">
        <v>330</v>
      </c>
      <c r="AK14" s="187">
        <v>134</v>
      </c>
      <c r="AL14" s="178">
        <v>225</v>
      </c>
      <c r="AM14" s="178">
        <v>95</v>
      </c>
      <c r="AN14" s="457">
        <f t="shared" si="6"/>
        <v>3120750</v>
      </c>
      <c r="AO14" s="457">
        <f t="shared" si="7"/>
        <v>1317650</v>
      </c>
      <c r="AP14" s="198">
        <v>21750</v>
      </c>
      <c r="AQ14" s="198">
        <v>9803</v>
      </c>
      <c r="AS14" s="252"/>
    </row>
    <row r="15" spans="1:45" x14ac:dyDescent="0.2">
      <c r="A15" s="190" t="s">
        <v>217</v>
      </c>
      <c r="B15" s="180">
        <v>295</v>
      </c>
      <c r="C15" s="180">
        <v>103</v>
      </c>
      <c r="D15" s="453">
        <f t="shared" si="1"/>
        <v>19611.600000000002</v>
      </c>
      <c r="E15" s="453">
        <f t="shared" si="2"/>
        <v>6847.4400000000005</v>
      </c>
      <c r="F15" s="181">
        <v>190</v>
      </c>
      <c r="G15" s="181">
        <v>70</v>
      </c>
      <c r="H15" s="455">
        <f t="shared" si="3"/>
        <v>2261</v>
      </c>
      <c r="I15" s="455">
        <f t="shared" si="4"/>
        <v>833</v>
      </c>
      <c r="J15" s="184">
        <v>215</v>
      </c>
      <c r="K15" s="184">
        <v>79</v>
      </c>
      <c r="L15" s="187">
        <f t="shared" si="5"/>
        <v>304.76</v>
      </c>
      <c r="M15" s="187">
        <f t="shared" si="0"/>
        <v>86.8</v>
      </c>
      <c r="N15" s="185">
        <v>190</v>
      </c>
      <c r="O15" s="185">
        <v>42</v>
      </c>
      <c r="P15" s="183">
        <v>175</v>
      </c>
      <c r="Q15" s="183">
        <v>52</v>
      </c>
      <c r="R15" s="186">
        <v>175</v>
      </c>
      <c r="S15" s="186">
        <v>52</v>
      </c>
      <c r="T15" s="184">
        <v>175</v>
      </c>
      <c r="U15" s="184">
        <v>76</v>
      </c>
      <c r="V15" s="185">
        <v>200</v>
      </c>
      <c r="W15" s="185">
        <v>55</v>
      </c>
      <c r="X15" s="183">
        <v>240</v>
      </c>
      <c r="Y15" s="183">
        <v>111</v>
      </c>
      <c r="Z15" s="185">
        <v>285</v>
      </c>
      <c r="AA15" s="185">
        <v>129</v>
      </c>
      <c r="AB15" s="186">
        <v>195</v>
      </c>
      <c r="AC15" s="186">
        <v>59</v>
      </c>
      <c r="AD15" s="372">
        <v>245</v>
      </c>
      <c r="AE15" s="372">
        <v>70</v>
      </c>
      <c r="AF15" s="187">
        <v>120</v>
      </c>
      <c r="AG15" s="187">
        <v>59</v>
      </c>
      <c r="AH15" s="198">
        <v>456</v>
      </c>
      <c r="AI15" s="198">
        <v>225</v>
      </c>
      <c r="AJ15" s="187">
        <v>290</v>
      </c>
      <c r="AK15" s="187">
        <v>122</v>
      </c>
      <c r="AL15" s="178">
        <v>200</v>
      </c>
      <c r="AM15" s="178">
        <v>86</v>
      </c>
      <c r="AN15" s="457">
        <f t="shared" si="6"/>
        <v>2774000</v>
      </c>
      <c r="AO15" s="457">
        <f t="shared" si="7"/>
        <v>1192820</v>
      </c>
      <c r="AP15" s="198">
        <v>18820</v>
      </c>
      <c r="AQ15" s="198">
        <v>8427</v>
      </c>
      <c r="AS15" s="252"/>
    </row>
    <row r="16" spans="1:45" x14ac:dyDescent="0.2">
      <c r="A16" s="190" t="s">
        <v>218</v>
      </c>
      <c r="B16" s="180">
        <v>260</v>
      </c>
      <c r="C16" s="180">
        <v>59</v>
      </c>
      <c r="D16" s="453">
        <f t="shared" si="1"/>
        <v>17284.8</v>
      </c>
      <c r="E16" s="453">
        <f t="shared" si="2"/>
        <v>3922.32</v>
      </c>
      <c r="F16" s="181">
        <v>125</v>
      </c>
      <c r="G16" s="181">
        <v>43</v>
      </c>
      <c r="H16" s="455">
        <f t="shared" si="3"/>
        <v>1487.5</v>
      </c>
      <c r="I16" s="455">
        <f t="shared" si="4"/>
        <v>511.7</v>
      </c>
      <c r="J16" s="184">
        <v>140</v>
      </c>
      <c r="K16" s="184">
        <v>49</v>
      </c>
      <c r="L16" s="187">
        <f t="shared" si="5"/>
        <v>200.5</v>
      </c>
      <c r="M16" s="187">
        <f t="shared" si="0"/>
        <v>53.32</v>
      </c>
      <c r="N16" s="185">
        <v>100</v>
      </c>
      <c r="O16" s="185">
        <v>26</v>
      </c>
      <c r="P16" s="183">
        <v>125</v>
      </c>
      <c r="Q16" s="183">
        <v>32</v>
      </c>
      <c r="R16" s="186">
        <v>125</v>
      </c>
      <c r="S16" s="186">
        <v>32</v>
      </c>
      <c r="T16" s="184">
        <v>125</v>
      </c>
      <c r="U16" s="184">
        <v>46</v>
      </c>
      <c r="V16" s="185">
        <v>150</v>
      </c>
      <c r="W16" s="185">
        <v>34</v>
      </c>
      <c r="X16" s="183">
        <v>180</v>
      </c>
      <c r="Y16" s="183">
        <v>62</v>
      </c>
      <c r="Z16" s="185">
        <v>210</v>
      </c>
      <c r="AA16" s="185">
        <v>73</v>
      </c>
      <c r="AB16" s="186">
        <v>150</v>
      </c>
      <c r="AC16" s="186">
        <v>36</v>
      </c>
      <c r="AD16" s="372">
        <v>190</v>
      </c>
      <c r="AE16" s="372">
        <v>43</v>
      </c>
      <c r="AF16" s="187">
        <v>100</v>
      </c>
      <c r="AG16" s="187">
        <v>36</v>
      </c>
      <c r="AH16" s="198">
        <v>380</v>
      </c>
      <c r="AI16" s="198">
        <v>138</v>
      </c>
      <c r="AJ16" s="187">
        <v>215</v>
      </c>
      <c r="AK16" s="187">
        <v>91</v>
      </c>
      <c r="AL16" s="178">
        <v>160</v>
      </c>
      <c r="AM16" s="178">
        <v>52</v>
      </c>
      <c r="AN16" s="457">
        <f t="shared" si="6"/>
        <v>2219200</v>
      </c>
      <c r="AO16" s="457">
        <f t="shared" si="7"/>
        <v>721240</v>
      </c>
      <c r="AP16" s="198">
        <v>16000</v>
      </c>
      <c r="AQ16" s="198">
        <v>5695</v>
      </c>
      <c r="AS16" s="252"/>
    </row>
    <row r="17" spans="1:45" x14ac:dyDescent="0.2">
      <c r="A17" s="190" t="s">
        <v>219</v>
      </c>
      <c r="B17" s="180">
        <v>325</v>
      </c>
      <c r="C17" s="180">
        <v>117</v>
      </c>
      <c r="D17" s="453">
        <f t="shared" si="1"/>
        <v>21606</v>
      </c>
      <c r="E17" s="453">
        <f t="shared" si="2"/>
        <v>7778.1600000000008</v>
      </c>
      <c r="F17" s="181">
        <v>230</v>
      </c>
      <c r="G17" s="181">
        <v>145</v>
      </c>
      <c r="H17" s="455">
        <f t="shared" si="3"/>
        <v>2737</v>
      </c>
      <c r="I17" s="455">
        <f t="shared" si="4"/>
        <v>1725.5</v>
      </c>
      <c r="J17" s="184">
        <v>260</v>
      </c>
      <c r="K17" s="184">
        <v>164</v>
      </c>
      <c r="L17" s="187">
        <f>F17*1.604</f>
        <v>368.92</v>
      </c>
      <c r="M17" s="187">
        <f>G17*1.24</f>
        <v>179.8</v>
      </c>
      <c r="N17" s="185">
        <v>225</v>
      </c>
      <c r="O17" s="185">
        <v>58</v>
      </c>
      <c r="P17" s="183">
        <v>250</v>
      </c>
      <c r="Q17" s="183">
        <v>110</v>
      </c>
      <c r="R17" s="186">
        <v>250</v>
      </c>
      <c r="S17" s="186">
        <v>110</v>
      </c>
      <c r="T17" s="184">
        <v>290</v>
      </c>
      <c r="U17" s="184">
        <v>137</v>
      </c>
      <c r="V17" s="185">
        <v>255</v>
      </c>
      <c r="W17" s="185">
        <v>159</v>
      </c>
      <c r="X17" s="183">
        <v>305</v>
      </c>
      <c r="Y17" s="183">
        <v>213</v>
      </c>
      <c r="Z17" s="185">
        <v>360</v>
      </c>
      <c r="AA17" s="185">
        <v>249</v>
      </c>
      <c r="AB17" s="186">
        <v>250</v>
      </c>
      <c r="AC17" s="186">
        <v>76</v>
      </c>
      <c r="AD17" s="372">
        <v>315</v>
      </c>
      <c r="AE17" s="372">
        <v>89</v>
      </c>
      <c r="AF17" s="187">
        <v>150</v>
      </c>
      <c r="AG17" s="187">
        <v>58</v>
      </c>
      <c r="AH17" s="198">
        <v>570</v>
      </c>
      <c r="AI17" s="198">
        <v>221</v>
      </c>
      <c r="AJ17" s="187">
        <v>330</v>
      </c>
      <c r="AK17" s="187">
        <v>134</v>
      </c>
      <c r="AL17" s="178">
        <v>225</v>
      </c>
      <c r="AM17" s="178">
        <v>95</v>
      </c>
      <c r="AN17" s="457">
        <f t="shared" si="6"/>
        <v>3120750</v>
      </c>
      <c r="AO17" s="457">
        <f t="shared" si="7"/>
        <v>1317650</v>
      </c>
      <c r="AP17" s="198">
        <v>21750</v>
      </c>
      <c r="AQ17" s="198">
        <v>9803</v>
      </c>
      <c r="AS17" s="252"/>
    </row>
    <row r="18" spans="1:45" x14ac:dyDescent="0.2">
      <c r="A18" s="190" t="s">
        <v>220</v>
      </c>
      <c r="B18" s="180">
        <v>330</v>
      </c>
      <c r="C18" s="180">
        <v>134</v>
      </c>
      <c r="D18" s="453">
        <f t="shared" si="1"/>
        <v>21938.400000000001</v>
      </c>
      <c r="E18" s="453">
        <f t="shared" si="2"/>
        <v>8908.32</v>
      </c>
      <c r="F18" s="181">
        <v>230</v>
      </c>
      <c r="G18" s="181">
        <v>145</v>
      </c>
      <c r="H18" s="455">
        <f t="shared" si="3"/>
        <v>2737</v>
      </c>
      <c r="I18" s="455">
        <f t="shared" si="4"/>
        <v>1725.5</v>
      </c>
      <c r="J18" s="184">
        <v>260</v>
      </c>
      <c r="K18" s="184">
        <v>164</v>
      </c>
      <c r="L18" s="187">
        <f>F18*1.604</f>
        <v>368.92</v>
      </c>
      <c r="M18" s="187">
        <f>G18*1.24</f>
        <v>179.8</v>
      </c>
      <c r="N18" s="185">
        <v>225</v>
      </c>
      <c r="O18" s="185">
        <v>58</v>
      </c>
      <c r="P18" s="183">
        <v>250</v>
      </c>
      <c r="Q18" s="183">
        <v>154</v>
      </c>
      <c r="R18" s="186">
        <v>250</v>
      </c>
      <c r="S18" s="186">
        <v>154</v>
      </c>
      <c r="T18" s="184">
        <v>290</v>
      </c>
      <c r="U18" s="184">
        <v>191</v>
      </c>
      <c r="V18" s="185">
        <v>255</v>
      </c>
      <c r="W18" s="185">
        <v>191</v>
      </c>
      <c r="X18" s="183">
        <v>305</v>
      </c>
      <c r="Y18" s="183">
        <v>298</v>
      </c>
      <c r="Z18" s="185">
        <v>360</v>
      </c>
      <c r="AA18" s="185">
        <v>348</v>
      </c>
      <c r="AB18" s="186">
        <v>250</v>
      </c>
      <c r="AC18" s="186">
        <v>79</v>
      </c>
      <c r="AD18" s="372">
        <v>315</v>
      </c>
      <c r="AE18" s="372">
        <v>92</v>
      </c>
      <c r="AF18" s="187">
        <v>150</v>
      </c>
      <c r="AG18" s="187">
        <v>78</v>
      </c>
      <c r="AH18" s="198">
        <v>570</v>
      </c>
      <c r="AI18" s="198">
        <v>298</v>
      </c>
      <c r="AJ18" s="187">
        <v>330</v>
      </c>
      <c r="AK18" s="187">
        <v>165</v>
      </c>
      <c r="AL18" s="178">
        <v>250</v>
      </c>
      <c r="AM18" s="178">
        <v>136</v>
      </c>
      <c r="AN18" s="457">
        <f t="shared" si="6"/>
        <v>3467500</v>
      </c>
      <c r="AO18" s="457">
        <f t="shared" si="7"/>
        <v>1886320</v>
      </c>
      <c r="AP18" s="198">
        <v>23005</v>
      </c>
      <c r="AQ18" s="198">
        <v>10135</v>
      </c>
      <c r="AS18" s="252"/>
    </row>
    <row r="19" spans="1:45" x14ac:dyDescent="0.2">
      <c r="A19" s="190" t="s">
        <v>221</v>
      </c>
      <c r="B19" s="180">
        <v>325</v>
      </c>
      <c r="C19" s="180">
        <v>129</v>
      </c>
      <c r="D19" s="453">
        <f t="shared" si="1"/>
        <v>21606</v>
      </c>
      <c r="E19" s="453">
        <f t="shared" si="2"/>
        <v>8575.92</v>
      </c>
      <c r="F19" s="181">
        <v>190</v>
      </c>
      <c r="G19" s="181">
        <v>56</v>
      </c>
      <c r="H19" s="455">
        <f t="shared" si="3"/>
        <v>2261</v>
      </c>
      <c r="I19" s="455">
        <f t="shared" si="4"/>
        <v>666.4</v>
      </c>
      <c r="J19" s="184">
        <v>215</v>
      </c>
      <c r="K19" s="184">
        <v>63</v>
      </c>
      <c r="L19" s="187">
        <f t="shared" si="5"/>
        <v>304.76</v>
      </c>
      <c r="M19" s="187">
        <f t="shared" si="0"/>
        <v>69.44</v>
      </c>
      <c r="N19" s="185">
        <v>190</v>
      </c>
      <c r="O19" s="185">
        <v>34</v>
      </c>
      <c r="P19" s="183">
        <v>200</v>
      </c>
      <c r="Q19" s="183">
        <v>42</v>
      </c>
      <c r="R19" s="186">
        <v>200</v>
      </c>
      <c r="S19" s="186">
        <v>42</v>
      </c>
      <c r="T19" s="184">
        <v>215</v>
      </c>
      <c r="U19" s="184">
        <v>61</v>
      </c>
      <c r="V19" s="185">
        <v>200</v>
      </c>
      <c r="W19" s="185">
        <v>78</v>
      </c>
      <c r="X19" s="183">
        <v>240</v>
      </c>
      <c r="Y19" s="183">
        <v>88</v>
      </c>
      <c r="Z19" s="185">
        <v>285</v>
      </c>
      <c r="AA19" s="185">
        <v>103</v>
      </c>
      <c r="AB19" s="186">
        <v>195</v>
      </c>
      <c r="AC19" s="186">
        <v>48</v>
      </c>
      <c r="AD19" s="372">
        <v>245</v>
      </c>
      <c r="AE19" s="372">
        <v>56</v>
      </c>
      <c r="AF19" s="187">
        <v>120</v>
      </c>
      <c r="AG19" s="187">
        <v>48</v>
      </c>
      <c r="AH19" s="198">
        <v>456</v>
      </c>
      <c r="AI19" s="198">
        <v>181</v>
      </c>
      <c r="AJ19" s="187">
        <v>330</v>
      </c>
      <c r="AK19" s="187">
        <v>130</v>
      </c>
      <c r="AL19" s="178">
        <v>225</v>
      </c>
      <c r="AM19" s="178">
        <v>95</v>
      </c>
      <c r="AN19" s="457">
        <f t="shared" si="6"/>
        <v>3120750</v>
      </c>
      <c r="AO19" s="457">
        <f t="shared" si="7"/>
        <v>1317650</v>
      </c>
      <c r="AP19" s="198">
        <v>23005</v>
      </c>
      <c r="AQ19" s="198">
        <v>8000</v>
      </c>
      <c r="AR19" s="359">
        <v>1</v>
      </c>
      <c r="AS19" s="252"/>
    </row>
    <row r="20" spans="1:45" x14ac:dyDescent="0.2">
      <c r="A20" s="190" t="s">
        <v>222</v>
      </c>
      <c r="B20" s="180">
        <v>325</v>
      </c>
      <c r="C20" s="180">
        <v>129</v>
      </c>
      <c r="D20" s="453">
        <f t="shared" si="1"/>
        <v>21606</v>
      </c>
      <c r="E20" s="453">
        <f t="shared" si="2"/>
        <v>8575.92</v>
      </c>
      <c r="F20" s="181">
        <v>190</v>
      </c>
      <c r="G20" s="181">
        <v>56</v>
      </c>
      <c r="H20" s="455">
        <f t="shared" si="3"/>
        <v>2261</v>
      </c>
      <c r="I20" s="455">
        <f t="shared" si="4"/>
        <v>666.4</v>
      </c>
      <c r="J20" s="184">
        <v>215</v>
      </c>
      <c r="K20" s="184">
        <v>63</v>
      </c>
      <c r="L20" s="187">
        <f>F20*1.604</f>
        <v>304.76</v>
      </c>
      <c r="M20" s="187">
        <f>G20*1.24</f>
        <v>69.44</v>
      </c>
      <c r="N20" s="185">
        <v>190</v>
      </c>
      <c r="O20" s="185">
        <v>34</v>
      </c>
      <c r="P20" s="183">
        <v>200</v>
      </c>
      <c r="Q20" s="183">
        <v>42</v>
      </c>
      <c r="R20" s="186">
        <v>200</v>
      </c>
      <c r="S20" s="186">
        <v>42</v>
      </c>
      <c r="T20" s="184">
        <v>215</v>
      </c>
      <c r="U20" s="184">
        <v>61</v>
      </c>
      <c r="V20" s="185">
        <v>200</v>
      </c>
      <c r="W20" s="185">
        <v>78</v>
      </c>
      <c r="X20" s="183">
        <v>240</v>
      </c>
      <c r="Y20" s="183">
        <v>88</v>
      </c>
      <c r="Z20" s="185">
        <v>285</v>
      </c>
      <c r="AA20" s="185">
        <v>103</v>
      </c>
      <c r="AB20" s="186">
        <v>195</v>
      </c>
      <c r="AC20" s="186">
        <v>48</v>
      </c>
      <c r="AD20" s="372">
        <v>245</v>
      </c>
      <c r="AE20" s="372">
        <v>56</v>
      </c>
      <c r="AF20" s="187">
        <v>120</v>
      </c>
      <c r="AG20" s="187">
        <v>48</v>
      </c>
      <c r="AH20" s="198">
        <v>456</v>
      </c>
      <c r="AI20" s="198">
        <v>181</v>
      </c>
      <c r="AJ20" s="187">
        <v>330</v>
      </c>
      <c r="AK20" s="187">
        <v>130</v>
      </c>
      <c r="AL20" s="178">
        <v>225</v>
      </c>
      <c r="AM20" s="178">
        <v>95</v>
      </c>
      <c r="AN20" s="457">
        <f t="shared" si="6"/>
        <v>3120750</v>
      </c>
      <c r="AO20" s="457">
        <f t="shared" si="7"/>
        <v>1317650</v>
      </c>
      <c r="AP20" s="198">
        <v>23005</v>
      </c>
      <c r="AQ20" s="198">
        <v>8000</v>
      </c>
      <c r="AR20" s="359">
        <v>1</v>
      </c>
      <c r="AS20" s="252"/>
    </row>
    <row r="21" spans="1:45" x14ac:dyDescent="0.2">
      <c r="A21" s="96" t="s">
        <v>223</v>
      </c>
      <c r="B21" s="180">
        <v>325</v>
      </c>
      <c r="C21" s="180">
        <v>130</v>
      </c>
      <c r="D21" s="453">
        <f t="shared" si="1"/>
        <v>21606</v>
      </c>
      <c r="E21" s="453">
        <f t="shared" si="2"/>
        <v>8642.4</v>
      </c>
      <c r="F21" s="181">
        <v>190</v>
      </c>
      <c r="G21" s="181">
        <v>60</v>
      </c>
      <c r="H21" s="455">
        <f t="shared" si="3"/>
        <v>2261</v>
      </c>
      <c r="I21" s="455">
        <f t="shared" si="4"/>
        <v>714</v>
      </c>
      <c r="J21" s="184">
        <v>215</v>
      </c>
      <c r="K21" s="184">
        <v>68</v>
      </c>
      <c r="L21" s="187">
        <f t="shared" si="5"/>
        <v>304.76</v>
      </c>
      <c r="M21" s="187">
        <f t="shared" si="0"/>
        <v>74.400000000000006</v>
      </c>
      <c r="N21" s="185">
        <v>190</v>
      </c>
      <c r="O21" s="185">
        <v>56</v>
      </c>
      <c r="P21" s="183">
        <v>200</v>
      </c>
      <c r="Q21" s="183">
        <v>69</v>
      </c>
      <c r="R21" s="186">
        <v>200</v>
      </c>
      <c r="S21" s="186">
        <v>69</v>
      </c>
      <c r="T21" s="184">
        <v>215</v>
      </c>
      <c r="U21" s="184">
        <v>102</v>
      </c>
      <c r="V21" s="185">
        <v>200</v>
      </c>
      <c r="W21" s="185">
        <v>73</v>
      </c>
      <c r="X21" s="183">
        <v>240</v>
      </c>
      <c r="Y21" s="183">
        <v>88</v>
      </c>
      <c r="Z21" s="185">
        <v>285</v>
      </c>
      <c r="AA21" s="185">
        <v>103</v>
      </c>
      <c r="AB21" s="186">
        <v>195</v>
      </c>
      <c r="AC21" s="186">
        <v>80</v>
      </c>
      <c r="AD21" s="372">
        <v>245</v>
      </c>
      <c r="AE21" s="372">
        <v>93</v>
      </c>
      <c r="AF21" s="187">
        <v>120</v>
      </c>
      <c r="AG21" s="187">
        <v>79</v>
      </c>
      <c r="AH21" s="198">
        <v>456</v>
      </c>
      <c r="AI21" s="198">
        <v>302</v>
      </c>
      <c r="AJ21" s="187">
        <v>290</v>
      </c>
      <c r="AK21" s="187">
        <v>134</v>
      </c>
      <c r="AL21" s="178">
        <v>200</v>
      </c>
      <c r="AM21" s="178">
        <v>95</v>
      </c>
      <c r="AN21" s="457">
        <f t="shared" si="6"/>
        <v>2774000</v>
      </c>
      <c r="AO21" s="457">
        <f t="shared" si="7"/>
        <v>1317650</v>
      </c>
      <c r="AP21" s="198">
        <v>23005</v>
      </c>
      <c r="AQ21" s="198">
        <v>8000</v>
      </c>
      <c r="AR21" s="359">
        <v>1</v>
      </c>
      <c r="AS21" s="252"/>
    </row>
    <row r="22" spans="1:45" x14ac:dyDescent="0.2">
      <c r="A22" s="96" t="s">
        <v>224</v>
      </c>
      <c r="B22" s="180">
        <v>325</v>
      </c>
      <c r="C22" s="180">
        <v>130</v>
      </c>
      <c r="D22" s="453">
        <f t="shared" si="1"/>
        <v>21606</v>
      </c>
      <c r="E22" s="453">
        <f t="shared" si="2"/>
        <v>8642.4</v>
      </c>
      <c r="F22" s="181">
        <v>210</v>
      </c>
      <c r="G22" s="181">
        <v>84</v>
      </c>
      <c r="H22" s="455">
        <f t="shared" si="3"/>
        <v>2499</v>
      </c>
      <c r="I22" s="455">
        <f t="shared" si="4"/>
        <v>999.6</v>
      </c>
      <c r="J22" s="184">
        <v>240</v>
      </c>
      <c r="K22" s="184">
        <v>95</v>
      </c>
      <c r="L22" s="187">
        <f>F22*1.604</f>
        <v>336.84000000000003</v>
      </c>
      <c r="M22" s="187">
        <f>G22*1.24</f>
        <v>104.16</v>
      </c>
      <c r="N22" s="185">
        <v>210</v>
      </c>
      <c r="O22" s="185">
        <v>56</v>
      </c>
      <c r="P22" s="183">
        <v>200</v>
      </c>
      <c r="Q22" s="183">
        <v>69</v>
      </c>
      <c r="R22" s="186">
        <v>200</v>
      </c>
      <c r="S22" s="186">
        <v>69</v>
      </c>
      <c r="T22" s="184">
        <v>215</v>
      </c>
      <c r="U22" s="184">
        <v>102</v>
      </c>
      <c r="V22" s="185">
        <v>230</v>
      </c>
      <c r="W22" s="185">
        <v>73</v>
      </c>
      <c r="X22" s="183">
        <v>275</v>
      </c>
      <c r="Y22" s="183">
        <v>127</v>
      </c>
      <c r="Z22" s="185">
        <v>325</v>
      </c>
      <c r="AA22" s="185">
        <v>148</v>
      </c>
      <c r="AB22" s="186">
        <v>225</v>
      </c>
      <c r="AC22" s="186">
        <v>85</v>
      </c>
      <c r="AD22" s="372">
        <v>280</v>
      </c>
      <c r="AE22" s="372">
        <v>100</v>
      </c>
      <c r="AF22" s="187">
        <v>140</v>
      </c>
      <c r="AG22" s="187">
        <v>79</v>
      </c>
      <c r="AH22" s="198">
        <v>532</v>
      </c>
      <c r="AI22" s="198">
        <v>302</v>
      </c>
      <c r="AJ22" s="187">
        <v>290</v>
      </c>
      <c r="AK22" s="187">
        <v>134</v>
      </c>
      <c r="AL22" s="178">
        <v>200</v>
      </c>
      <c r="AM22" s="178">
        <v>95</v>
      </c>
      <c r="AN22" s="457">
        <f t="shared" si="6"/>
        <v>2774000</v>
      </c>
      <c r="AO22" s="457">
        <f t="shared" si="7"/>
        <v>1317650</v>
      </c>
      <c r="AP22" s="198">
        <v>23005</v>
      </c>
      <c r="AQ22" s="198">
        <v>8000</v>
      </c>
      <c r="AR22" s="359">
        <v>1</v>
      </c>
      <c r="AS22" s="252"/>
    </row>
    <row r="23" spans="1:45" x14ac:dyDescent="0.2">
      <c r="A23" s="96" t="s">
        <v>225</v>
      </c>
      <c r="B23" s="180">
        <v>325</v>
      </c>
      <c r="C23" s="180">
        <v>130</v>
      </c>
      <c r="D23" s="453">
        <f t="shared" si="1"/>
        <v>21606</v>
      </c>
      <c r="E23" s="453">
        <f t="shared" si="2"/>
        <v>8642.4</v>
      </c>
      <c r="F23" s="181">
        <v>230</v>
      </c>
      <c r="G23" s="181">
        <v>150</v>
      </c>
      <c r="H23" s="455">
        <f t="shared" si="3"/>
        <v>2737</v>
      </c>
      <c r="I23" s="455">
        <f t="shared" si="4"/>
        <v>1785</v>
      </c>
      <c r="J23" s="184">
        <v>260</v>
      </c>
      <c r="K23" s="184">
        <v>170</v>
      </c>
      <c r="L23" s="187">
        <f>F23*1.604</f>
        <v>368.92</v>
      </c>
      <c r="M23" s="187">
        <f>G23*1.24</f>
        <v>186</v>
      </c>
      <c r="N23" s="185">
        <v>225</v>
      </c>
      <c r="O23" s="185">
        <v>90</v>
      </c>
      <c r="P23" s="183">
        <v>250</v>
      </c>
      <c r="Q23" s="183">
        <v>111</v>
      </c>
      <c r="R23" s="186">
        <v>250</v>
      </c>
      <c r="S23" s="186">
        <v>111</v>
      </c>
      <c r="T23" s="184">
        <v>290</v>
      </c>
      <c r="U23" s="184">
        <v>163</v>
      </c>
      <c r="V23" s="185">
        <v>255</v>
      </c>
      <c r="W23" s="185">
        <v>118</v>
      </c>
      <c r="X23" s="183">
        <v>305</v>
      </c>
      <c r="Y23" s="183">
        <v>127</v>
      </c>
      <c r="Z23" s="185">
        <v>360</v>
      </c>
      <c r="AA23" s="185">
        <v>148</v>
      </c>
      <c r="AB23" s="186">
        <v>250</v>
      </c>
      <c r="AC23" s="186">
        <v>128</v>
      </c>
      <c r="AD23" s="372">
        <v>315</v>
      </c>
      <c r="AE23" s="372">
        <v>150</v>
      </c>
      <c r="AF23" s="187">
        <v>150</v>
      </c>
      <c r="AG23" s="187">
        <v>128</v>
      </c>
      <c r="AH23" s="198">
        <v>570</v>
      </c>
      <c r="AI23" s="198">
        <v>485</v>
      </c>
      <c r="AJ23" s="187">
        <v>290</v>
      </c>
      <c r="AK23" s="187">
        <v>264</v>
      </c>
      <c r="AL23" s="178">
        <v>300</v>
      </c>
      <c r="AM23" s="178">
        <v>115</v>
      </c>
      <c r="AN23" s="457">
        <f t="shared" si="6"/>
        <v>4161000</v>
      </c>
      <c r="AO23" s="457">
        <f t="shared" si="7"/>
        <v>1595050</v>
      </c>
      <c r="AP23" s="198">
        <v>23005</v>
      </c>
      <c r="AQ23" s="198">
        <v>8000</v>
      </c>
      <c r="AR23" s="359">
        <v>1</v>
      </c>
      <c r="AS23" s="252"/>
    </row>
    <row r="24" spans="1:45" x14ac:dyDescent="0.2">
      <c r="A24" s="96" t="s">
        <v>226</v>
      </c>
      <c r="B24" s="180">
        <v>325</v>
      </c>
      <c r="C24" s="180">
        <v>60</v>
      </c>
      <c r="D24" s="453">
        <f t="shared" si="1"/>
        <v>21606</v>
      </c>
      <c r="E24" s="453">
        <f t="shared" si="2"/>
        <v>3988.8</v>
      </c>
      <c r="F24" s="181">
        <v>210</v>
      </c>
      <c r="G24" s="181">
        <v>45</v>
      </c>
      <c r="H24" s="455">
        <f t="shared" si="3"/>
        <v>2499</v>
      </c>
      <c r="I24" s="455">
        <f t="shared" si="4"/>
        <v>535.5</v>
      </c>
      <c r="J24" s="184">
        <v>240</v>
      </c>
      <c r="K24" s="184">
        <v>51</v>
      </c>
      <c r="L24" s="187">
        <v>158</v>
      </c>
      <c r="M24" s="187">
        <f t="shared" si="0"/>
        <v>55.8</v>
      </c>
      <c r="N24" s="185">
        <v>210</v>
      </c>
      <c r="O24" s="185">
        <v>51</v>
      </c>
      <c r="P24" s="183">
        <v>200</v>
      </c>
      <c r="Q24" s="183">
        <v>51</v>
      </c>
      <c r="R24" s="186">
        <v>200</v>
      </c>
      <c r="S24" s="186">
        <v>50.849999999999994</v>
      </c>
      <c r="T24" s="184">
        <v>215</v>
      </c>
      <c r="U24" s="184">
        <v>50.849999999999994</v>
      </c>
      <c r="V24" s="185">
        <v>230</v>
      </c>
      <c r="W24" s="185">
        <v>50.849999999999994</v>
      </c>
      <c r="X24" s="183">
        <v>275</v>
      </c>
      <c r="Y24" s="183">
        <v>50.849999999999994</v>
      </c>
      <c r="Z24" s="185">
        <v>325</v>
      </c>
      <c r="AA24" s="185">
        <v>57</v>
      </c>
      <c r="AB24" s="186">
        <v>225</v>
      </c>
      <c r="AC24" s="186">
        <v>50.849999999999994</v>
      </c>
      <c r="AD24" s="372">
        <v>280</v>
      </c>
      <c r="AE24" s="372">
        <v>60</v>
      </c>
      <c r="AF24" s="187">
        <v>140</v>
      </c>
      <c r="AG24" s="187">
        <v>60</v>
      </c>
      <c r="AH24" s="198">
        <v>532</v>
      </c>
      <c r="AI24" s="198">
        <v>217</v>
      </c>
      <c r="AJ24" s="187">
        <v>330</v>
      </c>
      <c r="AK24" s="187">
        <v>70</v>
      </c>
      <c r="AL24" s="178">
        <v>225</v>
      </c>
      <c r="AM24" s="178">
        <v>60</v>
      </c>
      <c r="AN24" s="457">
        <f t="shared" si="6"/>
        <v>3120750</v>
      </c>
      <c r="AO24" s="457">
        <f t="shared" si="7"/>
        <v>832200</v>
      </c>
      <c r="AP24" s="198">
        <v>21750</v>
      </c>
      <c r="AQ24" s="198">
        <v>7060.8</v>
      </c>
      <c r="AR24" s="253">
        <v>100000</v>
      </c>
      <c r="AS24" s="252"/>
    </row>
    <row r="25" spans="1:45" x14ac:dyDescent="0.2">
      <c r="A25" s="96" t="s">
        <v>227</v>
      </c>
      <c r="B25" s="180">
        <v>295</v>
      </c>
      <c r="C25" s="180">
        <v>50</v>
      </c>
      <c r="D25" s="453">
        <f t="shared" si="1"/>
        <v>19611.600000000002</v>
      </c>
      <c r="E25" s="453">
        <f t="shared" si="2"/>
        <v>3324</v>
      </c>
      <c r="F25" s="181">
        <v>190</v>
      </c>
      <c r="G25" s="181">
        <v>38</v>
      </c>
      <c r="H25" s="455">
        <f t="shared" si="3"/>
        <v>2261</v>
      </c>
      <c r="I25" s="455">
        <f t="shared" si="4"/>
        <v>452.2</v>
      </c>
      <c r="J25" s="184">
        <v>215</v>
      </c>
      <c r="K25" s="184">
        <v>43</v>
      </c>
      <c r="L25" s="187">
        <v>126</v>
      </c>
      <c r="M25" s="187">
        <f t="shared" si="0"/>
        <v>47.12</v>
      </c>
      <c r="N25" s="185">
        <v>190</v>
      </c>
      <c r="O25" s="185">
        <v>43</v>
      </c>
      <c r="P25" s="183">
        <v>175</v>
      </c>
      <c r="Q25" s="183">
        <v>43</v>
      </c>
      <c r="R25" s="186">
        <v>175</v>
      </c>
      <c r="S25" s="186">
        <v>43</v>
      </c>
      <c r="T25" s="184">
        <v>175</v>
      </c>
      <c r="U25" s="184">
        <v>43</v>
      </c>
      <c r="V25" s="185">
        <v>200</v>
      </c>
      <c r="W25" s="185">
        <v>43</v>
      </c>
      <c r="X25" s="183">
        <v>240</v>
      </c>
      <c r="Y25" s="183">
        <v>43</v>
      </c>
      <c r="Z25" s="185">
        <v>285</v>
      </c>
      <c r="AA25" s="185">
        <v>48</v>
      </c>
      <c r="AB25" s="186">
        <v>195</v>
      </c>
      <c r="AC25" s="186">
        <v>43</v>
      </c>
      <c r="AD25" s="372">
        <v>245</v>
      </c>
      <c r="AE25" s="372">
        <v>50</v>
      </c>
      <c r="AF25" s="187">
        <v>120</v>
      </c>
      <c r="AG25" s="187">
        <v>50</v>
      </c>
      <c r="AH25" s="198">
        <v>456</v>
      </c>
      <c r="AI25" s="198">
        <v>184</v>
      </c>
      <c r="AJ25" s="187">
        <v>290</v>
      </c>
      <c r="AK25" s="187">
        <v>60</v>
      </c>
      <c r="AL25" s="178">
        <v>200</v>
      </c>
      <c r="AM25" s="178">
        <v>50</v>
      </c>
      <c r="AN25" s="457">
        <f t="shared" si="6"/>
        <v>2774000</v>
      </c>
      <c r="AO25" s="457">
        <f t="shared" si="7"/>
        <v>693500</v>
      </c>
      <c r="AP25" s="198">
        <v>18820</v>
      </c>
      <c r="AQ25" s="198">
        <v>5884</v>
      </c>
      <c r="AR25" s="253">
        <v>100000</v>
      </c>
      <c r="AS25" s="252"/>
    </row>
    <row r="26" spans="1:45" x14ac:dyDescent="0.2">
      <c r="A26" s="96" t="s">
        <v>228</v>
      </c>
      <c r="B26" s="180">
        <v>260</v>
      </c>
      <c r="C26" s="180">
        <v>36</v>
      </c>
      <c r="D26" s="453">
        <f t="shared" si="1"/>
        <v>17284.8</v>
      </c>
      <c r="E26" s="453">
        <f t="shared" si="2"/>
        <v>2393.2800000000002</v>
      </c>
      <c r="F26" s="181">
        <v>125</v>
      </c>
      <c r="G26" s="181">
        <v>27</v>
      </c>
      <c r="H26" s="455">
        <f t="shared" si="3"/>
        <v>1487.5</v>
      </c>
      <c r="I26" s="455">
        <f t="shared" si="4"/>
        <v>321.3</v>
      </c>
      <c r="J26" s="184">
        <v>140</v>
      </c>
      <c r="K26" s="184">
        <v>31</v>
      </c>
      <c r="L26" s="187">
        <v>84</v>
      </c>
      <c r="M26" s="187">
        <f t="shared" si="0"/>
        <v>33.479999999999997</v>
      </c>
      <c r="N26" s="185">
        <v>100</v>
      </c>
      <c r="O26" s="185">
        <v>31</v>
      </c>
      <c r="P26" s="183">
        <v>125</v>
      </c>
      <c r="Q26" s="183">
        <v>31</v>
      </c>
      <c r="R26" s="186">
        <v>125</v>
      </c>
      <c r="S26" s="186">
        <v>31</v>
      </c>
      <c r="T26" s="184">
        <v>125</v>
      </c>
      <c r="U26" s="184">
        <v>31</v>
      </c>
      <c r="V26" s="185">
        <v>150</v>
      </c>
      <c r="W26" s="185">
        <v>31</v>
      </c>
      <c r="X26" s="183">
        <v>180</v>
      </c>
      <c r="Y26" s="183">
        <v>31</v>
      </c>
      <c r="Z26" s="185">
        <v>210</v>
      </c>
      <c r="AA26" s="185">
        <v>33</v>
      </c>
      <c r="AB26" s="186">
        <v>150</v>
      </c>
      <c r="AC26" s="186">
        <v>31</v>
      </c>
      <c r="AD26" s="372">
        <v>190</v>
      </c>
      <c r="AE26" s="372">
        <v>36</v>
      </c>
      <c r="AF26" s="187">
        <v>100</v>
      </c>
      <c r="AG26" s="187">
        <v>36</v>
      </c>
      <c r="AH26" s="198">
        <v>380</v>
      </c>
      <c r="AI26" s="198">
        <v>125</v>
      </c>
      <c r="AJ26" s="187">
        <v>215</v>
      </c>
      <c r="AK26" s="187">
        <v>50</v>
      </c>
      <c r="AL26" s="178">
        <v>160</v>
      </c>
      <c r="AM26" s="178">
        <v>36</v>
      </c>
      <c r="AN26" s="457">
        <f t="shared" si="6"/>
        <v>2219200</v>
      </c>
      <c r="AO26" s="457">
        <f t="shared" si="7"/>
        <v>499320</v>
      </c>
      <c r="AP26" s="198">
        <v>16000</v>
      </c>
      <c r="AQ26" s="198">
        <v>4236.4800000000005</v>
      </c>
      <c r="AR26" s="253">
        <v>100000</v>
      </c>
      <c r="AS26" s="252"/>
    </row>
    <row r="27" spans="1:45" x14ac:dyDescent="0.2">
      <c r="A27" s="96" t="s">
        <v>229</v>
      </c>
      <c r="B27" s="180">
        <v>210</v>
      </c>
      <c r="C27" s="180">
        <v>25</v>
      </c>
      <c r="D27" s="453">
        <f t="shared" si="1"/>
        <v>13960.800000000001</v>
      </c>
      <c r="E27" s="453">
        <f t="shared" si="2"/>
        <v>1662</v>
      </c>
      <c r="F27" s="181">
        <v>85</v>
      </c>
      <c r="G27" s="181">
        <v>19</v>
      </c>
      <c r="H27" s="455">
        <f t="shared" si="3"/>
        <v>1011.5</v>
      </c>
      <c r="I27" s="455">
        <f t="shared" si="4"/>
        <v>226.1</v>
      </c>
      <c r="J27" s="184">
        <v>95</v>
      </c>
      <c r="K27" s="184">
        <v>21</v>
      </c>
      <c r="L27" s="187">
        <v>63</v>
      </c>
      <c r="M27" s="187">
        <f t="shared" si="0"/>
        <v>23.56</v>
      </c>
      <c r="N27" s="185">
        <v>75</v>
      </c>
      <c r="O27" s="185">
        <v>21</v>
      </c>
      <c r="P27" s="183">
        <v>75</v>
      </c>
      <c r="Q27" s="183">
        <v>21</v>
      </c>
      <c r="R27" s="186">
        <v>75</v>
      </c>
      <c r="S27" s="186">
        <v>21</v>
      </c>
      <c r="T27" s="184">
        <v>75</v>
      </c>
      <c r="U27" s="184">
        <v>21</v>
      </c>
      <c r="V27" s="185">
        <v>95</v>
      </c>
      <c r="W27" s="185">
        <v>21</v>
      </c>
      <c r="X27" s="183">
        <v>115</v>
      </c>
      <c r="Y27" s="183">
        <v>21</v>
      </c>
      <c r="Z27" s="185">
        <v>130</v>
      </c>
      <c r="AA27" s="185">
        <v>27</v>
      </c>
      <c r="AB27" s="186">
        <v>125</v>
      </c>
      <c r="AC27" s="186">
        <v>21</v>
      </c>
      <c r="AD27" s="372">
        <v>155</v>
      </c>
      <c r="AE27" s="372">
        <v>25</v>
      </c>
      <c r="AF27" s="187">
        <v>75</v>
      </c>
      <c r="AG27" s="187">
        <v>25</v>
      </c>
      <c r="AH27" s="198">
        <v>285</v>
      </c>
      <c r="AI27" s="198">
        <v>103</v>
      </c>
      <c r="AJ27" s="187">
        <v>190</v>
      </c>
      <c r="AK27" s="187">
        <v>40</v>
      </c>
      <c r="AL27" s="178">
        <v>140</v>
      </c>
      <c r="AM27" s="178">
        <v>25</v>
      </c>
      <c r="AN27" s="457">
        <f t="shared" si="6"/>
        <v>1941800</v>
      </c>
      <c r="AO27" s="457">
        <f t="shared" si="7"/>
        <v>346750</v>
      </c>
      <c r="AP27" s="198">
        <v>14000</v>
      </c>
      <c r="AQ27" s="198">
        <v>2942</v>
      </c>
      <c r="AR27" s="253">
        <v>100000</v>
      </c>
      <c r="AS27" s="252"/>
    </row>
    <row r="28" spans="1:45" x14ac:dyDescent="0.2">
      <c r="A28" s="96" t="s">
        <v>230</v>
      </c>
      <c r="B28" s="180">
        <v>125</v>
      </c>
      <c r="C28" s="180">
        <v>60</v>
      </c>
      <c r="D28" s="453">
        <f t="shared" si="1"/>
        <v>8310</v>
      </c>
      <c r="E28" s="453">
        <f t="shared" si="2"/>
        <v>3988.8</v>
      </c>
      <c r="F28" s="181">
        <v>110</v>
      </c>
      <c r="G28" s="181">
        <v>45</v>
      </c>
      <c r="H28" s="455">
        <f t="shared" si="3"/>
        <v>1309</v>
      </c>
      <c r="I28" s="455">
        <f t="shared" si="4"/>
        <v>535.5</v>
      </c>
      <c r="J28" s="184">
        <v>120</v>
      </c>
      <c r="K28" s="184">
        <v>51</v>
      </c>
      <c r="L28" s="187">
        <v>125</v>
      </c>
      <c r="M28" s="187">
        <f t="shared" si="0"/>
        <v>55.8</v>
      </c>
      <c r="N28" s="185">
        <v>100</v>
      </c>
      <c r="O28" s="185">
        <v>51</v>
      </c>
      <c r="P28" s="183">
        <v>118</v>
      </c>
      <c r="Q28" s="183">
        <v>51</v>
      </c>
      <c r="R28" s="186">
        <v>118</v>
      </c>
      <c r="S28" s="186">
        <v>51</v>
      </c>
      <c r="T28" s="184">
        <v>120</v>
      </c>
      <c r="U28" s="184">
        <v>51</v>
      </c>
      <c r="V28" s="185">
        <v>120</v>
      </c>
      <c r="W28" s="185">
        <v>51</v>
      </c>
      <c r="X28" s="183">
        <v>120</v>
      </c>
      <c r="Y28" s="183">
        <v>51</v>
      </c>
      <c r="Z28" s="185">
        <v>155</v>
      </c>
      <c r="AA28" s="185">
        <v>57</v>
      </c>
      <c r="AB28" s="186">
        <v>122</v>
      </c>
      <c r="AC28" s="186">
        <v>51</v>
      </c>
      <c r="AD28" s="372">
        <v>155</v>
      </c>
      <c r="AE28" s="372">
        <v>60</v>
      </c>
      <c r="AF28" s="187">
        <v>100</v>
      </c>
      <c r="AG28" s="187">
        <v>60</v>
      </c>
      <c r="AH28" s="198">
        <v>380</v>
      </c>
      <c r="AI28" s="198">
        <v>217</v>
      </c>
      <c r="AJ28" s="187">
        <v>168</v>
      </c>
      <c r="AK28" s="187">
        <v>70</v>
      </c>
      <c r="AL28" s="178">
        <v>120</v>
      </c>
      <c r="AM28" s="178">
        <v>60</v>
      </c>
      <c r="AN28" s="457">
        <f t="shared" si="6"/>
        <v>1664400</v>
      </c>
      <c r="AO28" s="457">
        <f t="shared" si="7"/>
        <v>832200</v>
      </c>
      <c r="AP28" s="198">
        <v>14100</v>
      </c>
      <c r="AQ28" s="198">
        <v>7060.8</v>
      </c>
      <c r="AR28" s="253">
        <v>100000</v>
      </c>
      <c r="AS28" s="252"/>
    </row>
    <row r="29" spans="1:45" x14ac:dyDescent="0.2">
      <c r="A29" s="96" t="s">
        <v>231</v>
      </c>
      <c r="B29" s="180">
        <v>100</v>
      </c>
      <c r="C29" s="180">
        <v>50</v>
      </c>
      <c r="D29" s="453">
        <f t="shared" si="1"/>
        <v>6648</v>
      </c>
      <c r="E29" s="453">
        <f t="shared" si="2"/>
        <v>3324</v>
      </c>
      <c r="F29" s="181">
        <v>90</v>
      </c>
      <c r="G29" s="181">
        <v>38</v>
      </c>
      <c r="H29" s="455">
        <f t="shared" si="3"/>
        <v>1071</v>
      </c>
      <c r="I29" s="455">
        <f t="shared" si="4"/>
        <v>452.2</v>
      </c>
      <c r="J29" s="184">
        <v>105</v>
      </c>
      <c r="K29" s="184">
        <v>43</v>
      </c>
      <c r="L29" s="187">
        <v>100</v>
      </c>
      <c r="M29" s="187">
        <f t="shared" si="0"/>
        <v>47.12</v>
      </c>
      <c r="N29" s="185">
        <v>90</v>
      </c>
      <c r="O29" s="185">
        <v>43</v>
      </c>
      <c r="P29" s="183">
        <v>79</v>
      </c>
      <c r="Q29" s="183">
        <v>43</v>
      </c>
      <c r="R29" s="186">
        <v>79</v>
      </c>
      <c r="S29" s="186">
        <v>43</v>
      </c>
      <c r="T29" s="184">
        <v>105</v>
      </c>
      <c r="U29" s="184">
        <v>43</v>
      </c>
      <c r="V29" s="185">
        <v>105</v>
      </c>
      <c r="W29" s="185">
        <v>43</v>
      </c>
      <c r="X29" s="183">
        <v>105</v>
      </c>
      <c r="Y29" s="183">
        <v>43</v>
      </c>
      <c r="Z29" s="185">
        <v>145</v>
      </c>
      <c r="AA29" s="185">
        <v>48</v>
      </c>
      <c r="AB29" s="186">
        <v>103</v>
      </c>
      <c r="AC29" s="186">
        <v>43</v>
      </c>
      <c r="AD29" s="372">
        <v>130</v>
      </c>
      <c r="AE29" s="372">
        <v>50</v>
      </c>
      <c r="AF29" s="187">
        <v>90</v>
      </c>
      <c r="AG29" s="187">
        <v>50</v>
      </c>
      <c r="AH29" s="198">
        <v>342</v>
      </c>
      <c r="AI29" s="198">
        <v>184</v>
      </c>
      <c r="AJ29" s="187">
        <v>112</v>
      </c>
      <c r="AK29" s="187">
        <v>60</v>
      </c>
      <c r="AL29" s="178">
        <v>80</v>
      </c>
      <c r="AM29" s="178">
        <v>50</v>
      </c>
      <c r="AN29" s="457">
        <f t="shared" si="6"/>
        <v>1109600</v>
      </c>
      <c r="AO29" s="457">
        <f t="shared" si="7"/>
        <v>693500</v>
      </c>
      <c r="AP29" s="198">
        <v>9500</v>
      </c>
      <c r="AQ29" s="198">
        <v>5884</v>
      </c>
      <c r="AR29" s="253">
        <v>100000</v>
      </c>
      <c r="AS29" s="252"/>
    </row>
    <row r="30" spans="1:45" x14ac:dyDescent="0.2">
      <c r="A30" s="96" t="s">
        <v>232</v>
      </c>
      <c r="B30" s="180">
        <v>70</v>
      </c>
      <c r="C30" s="180">
        <v>36</v>
      </c>
      <c r="D30" s="453">
        <f t="shared" si="1"/>
        <v>4653.6000000000004</v>
      </c>
      <c r="E30" s="453">
        <f t="shared" si="2"/>
        <v>2393.2800000000002</v>
      </c>
      <c r="F30" s="181">
        <v>60</v>
      </c>
      <c r="G30" s="181">
        <v>27</v>
      </c>
      <c r="H30" s="455">
        <f t="shared" si="3"/>
        <v>714</v>
      </c>
      <c r="I30" s="455">
        <f t="shared" si="4"/>
        <v>321.3</v>
      </c>
      <c r="J30" s="184">
        <v>70</v>
      </c>
      <c r="K30" s="184">
        <v>31</v>
      </c>
      <c r="L30" s="187">
        <v>70</v>
      </c>
      <c r="M30" s="187">
        <f t="shared" si="0"/>
        <v>33.479999999999997</v>
      </c>
      <c r="N30" s="185">
        <v>60</v>
      </c>
      <c r="O30" s="185">
        <v>31</v>
      </c>
      <c r="P30" s="183">
        <v>59</v>
      </c>
      <c r="Q30" s="183">
        <v>31</v>
      </c>
      <c r="R30" s="186">
        <v>59</v>
      </c>
      <c r="S30" s="186">
        <v>31</v>
      </c>
      <c r="T30" s="184">
        <v>70</v>
      </c>
      <c r="U30" s="184">
        <v>31</v>
      </c>
      <c r="V30" s="185">
        <v>70</v>
      </c>
      <c r="W30" s="185">
        <v>31</v>
      </c>
      <c r="X30" s="183">
        <v>70</v>
      </c>
      <c r="Y30" s="183">
        <v>31</v>
      </c>
      <c r="Z30" s="185">
        <v>100</v>
      </c>
      <c r="AA30" s="185">
        <v>33</v>
      </c>
      <c r="AB30" s="186">
        <v>70</v>
      </c>
      <c r="AC30" s="186">
        <v>31</v>
      </c>
      <c r="AD30" s="372">
        <v>90</v>
      </c>
      <c r="AE30" s="372">
        <v>36</v>
      </c>
      <c r="AF30" s="187">
        <v>60</v>
      </c>
      <c r="AG30" s="187">
        <v>36</v>
      </c>
      <c r="AH30" s="198">
        <v>228</v>
      </c>
      <c r="AI30" s="198">
        <v>125</v>
      </c>
      <c r="AJ30" s="187">
        <v>84</v>
      </c>
      <c r="AK30" s="187">
        <v>45</v>
      </c>
      <c r="AL30" s="178">
        <v>60</v>
      </c>
      <c r="AM30" s="178">
        <v>36</v>
      </c>
      <c r="AN30" s="457">
        <f t="shared" si="6"/>
        <v>832200</v>
      </c>
      <c r="AO30" s="457">
        <f t="shared" si="7"/>
        <v>499320</v>
      </c>
      <c r="AP30" s="198">
        <v>7100</v>
      </c>
      <c r="AQ30" s="198">
        <v>4236.4800000000005</v>
      </c>
      <c r="AR30" s="253">
        <v>100000</v>
      </c>
      <c r="AS30" s="252"/>
    </row>
    <row r="31" spans="1:45" x14ac:dyDescent="0.2">
      <c r="A31" s="96" t="s">
        <v>233</v>
      </c>
      <c r="B31" s="180">
        <v>60</v>
      </c>
      <c r="C31" s="180">
        <v>25</v>
      </c>
      <c r="D31" s="453">
        <f t="shared" si="1"/>
        <v>3988.8</v>
      </c>
      <c r="E31" s="453">
        <f t="shared" si="2"/>
        <v>1662</v>
      </c>
      <c r="F31" s="181">
        <v>50</v>
      </c>
      <c r="G31" s="181">
        <v>19</v>
      </c>
      <c r="H31" s="455">
        <f t="shared" si="3"/>
        <v>595</v>
      </c>
      <c r="I31" s="455">
        <f t="shared" si="4"/>
        <v>226.1</v>
      </c>
      <c r="J31" s="184">
        <v>60</v>
      </c>
      <c r="K31" s="184">
        <v>21</v>
      </c>
      <c r="L31" s="187">
        <v>60</v>
      </c>
      <c r="M31" s="187">
        <f t="shared" si="0"/>
        <v>23.56</v>
      </c>
      <c r="N31" s="185">
        <v>50</v>
      </c>
      <c r="O31" s="185">
        <v>27</v>
      </c>
      <c r="P31" s="183">
        <v>44</v>
      </c>
      <c r="Q31" s="183">
        <v>23</v>
      </c>
      <c r="R31" s="186">
        <v>44</v>
      </c>
      <c r="S31" s="186">
        <v>23</v>
      </c>
      <c r="T31" s="184">
        <v>60</v>
      </c>
      <c r="U31" s="184">
        <v>23</v>
      </c>
      <c r="V31" s="185">
        <v>60</v>
      </c>
      <c r="W31" s="185">
        <v>23</v>
      </c>
      <c r="X31" s="183">
        <v>60</v>
      </c>
      <c r="Y31" s="183">
        <v>23</v>
      </c>
      <c r="Z31" s="185">
        <v>80</v>
      </c>
      <c r="AA31" s="185">
        <v>27</v>
      </c>
      <c r="AB31" s="186">
        <v>60</v>
      </c>
      <c r="AC31" s="186">
        <v>23</v>
      </c>
      <c r="AD31" s="372">
        <v>70</v>
      </c>
      <c r="AE31" s="372">
        <v>25</v>
      </c>
      <c r="AF31" s="187">
        <v>50</v>
      </c>
      <c r="AG31" s="187">
        <v>25</v>
      </c>
      <c r="AH31" s="198">
        <v>190</v>
      </c>
      <c r="AI31" s="198">
        <v>103</v>
      </c>
      <c r="AJ31" s="187">
        <v>60</v>
      </c>
      <c r="AK31" s="187">
        <v>30</v>
      </c>
      <c r="AL31" s="178">
        <v>40</v>
      </c>
      <c r="AM31" s="178">
        <v>25</v>
      </c>
      <c r="AN31" s="457">
        <f t="shared" si="6"/>
        <v>554800</v>
      </c>
      <c r="AO31" s="457">
        <f t="shared" si="7"/>
        <v>346750</v>
      </c>
      <c r="AP31" s="198">
        <v>7100</v>
      </c>
      <c r="AQ31" s="198">
        <v>2942</v>
      </c>
      <c r="AR31" s="253">
        <v>100000</v>
      </c>
      <c r="AS31" s="252"/>
    </row>
    <row r="32" spans="1:45" x14ac:dyDescent="0.2">
      <c r="A32" s="96" t="s">
        <v>234</v>
      </c>
      <c r="B32" s="180">
        <v>90</v>
      </c>
      <c r="C32" s="180">
        <v>65</v>
      </c>
      <c r="D32" s="453">
        <f t="shared" si="1"/>
        <v>5983.2000000000007</v>
      </c>
      <c r="E32" s="453">
        <f t="shared" si="2"/>
        <v>4321.2</v>
      </c>
      <c r="F32" s="181">
        <v>58</v>
      </c>
      <c r="G32" s="181">
        <v>44</v>
      </c>
      <c r="H32" s="455">
        <f t="shared" si="3"/>
        <v>690.2</v>
      </c>
      <c r="I32" s="455">
        <f t="shared" si="4"/>
        <v>523.6</v>
      </c>
      <c r="J32" s="184">
        <v>80</v>
      </c>
      <c r="K32" s="184">
        <v>50</v>
      </c>
      <c r="L32" s="187">
        <v>90</v>
      </c>
      <c r="M32" s="187">
        <f t="shared" si="0"/>
        <v>54.56</v>
      </c>
      <c r="N32" s="185">
        <v>80</v>
      </c>
      <c r="O32" s="185">
        <v>40</v>
      </c>
      <c r="P32" s="183">
        <v>80</v>
      </c>
      <c r="Q32" s="183">
        <v>51</v>
      </c>
      <c r="R32" s="186">
        <v>80</v>
      </c>
      <c r="S32" s="186">
        <v>51</v>
      </c>
      <c r="T32" s="184">
        <v>80</v>
      </c>
      <c r="U32" s="184">
        <v>51</v>
      </c>
      <c r="V32" s="185">
        <v>80</v>
      </c>
      <c r="W32" s="185">
        <v>51</v>
      </c>
      <c r="X32" s="183">
        <v>96</v>
      </c>
      <c r="Y32" s="183">
        <v>51</v>
      </c>
      <c r="Z32" s="185">
        <v>113</v>
      </c>
      <c r="AA32" s="185">
        <v>55</v>
      </c>
      <c r="AB32" s="186">
        <v>80</v>
      </c>
      <c r="AC32" s="186">
        <v>51</v>
      </c>
      <c r="AD32" s="372">
        <v>100</v>
      </c>
      <c r="AE32" s="372">
        <v>60</v>
      </c>
      <c r="AF32" s="187">
        <v>90</v>
      </c>
      <c r="AG32" s="187">
        <v>56.068949999999994</v>
      </c>
      <c r="AH32" s="198">
        <v>342</v>
      </c>
      <c r="AI32" s="198">
        <v>201</v>
      </c>
      <c r="AJ32" s="187">
        <v>126</v>
      </c>
      <c r="AK32" s="187">
        <v>75</v>
      </c>
      <c r="AL32" s="178">
        <v>90</v>
      </c>
      <c r="AM32" s="178">
        <v>54</v>
      </c>
      <c r="AN32" s="457">
        <f t="shared" si="6"/>
        <v>1248300</v>
      </c>
      <c r="AO32" s="457">
        <f t="shared" si="7"/>
        <v>748980</v>
      </c>
      <c r="AP32" s="198">
        <v>10600</v>
      </c>
      <c r="AQ32" s="198">
        <v>7649.2000000000007</v>
      </c>
      <c r="AR32" s="253">
        <v>1000</v>
      </c>
      <c r="AS32" s="252"/>
    </row>
    <row r="33" spans="1:46" x14ac:dyDescent="0.2">
      <c r="A33" s="96" t="s">
        <v>235</v>
      </c>
      <c r="B33" s="180">
        <v>55</v>
      </c>
      <c r="C33" s="180">
        <v>21</v>
      </c>
      <c r="D33" s="453">
        <f t="shared" si="1"/>
        <v>3656.4</v>
      </c>
      <c r="E33" s="453">
        <f t="shared" si="2"/>
        <v>1396.0800000000002</v>
      </c>
      <c r="F33" s="181">
        <v>36</v>
      </c>
      <c r="G33" s="181">
        <v>14</v>
      </c>
      <c r="H33" s="455">
        <f t="shared" si="3"/>
        <v>428.40000000000003</v>
      </c>
      <c r="I33" s="455">
        <f t="shared" si="4"/>
        <v>166.6</v>
      </c>
      <c r="J33" s="184">
        <v>49</v>
      </c>
      <c r="K33" s="184">
        <v>16</v>
      </c>
      <c r="L33" s="187">
        <v>55</v>
      </c>
      <c r="M33" s="187">
        <f t="shared" si="0"/>
        <v>17.36</v>
      </c>
      <c r="N33" s="185">
        <v>49</v>
      </c>
      <c r="O33" s="185">
        <v>15</v>
      </c>
      <c r="P33" s="183">
        <v>49</v>
      </c>
      <c r="Q33" s="183">
        <v>16</v>
      </c>
      <c r="R33" s="186">
        <v>49</v>
      </c>
      <c r="S33" s="186">
        <v>16</v>
      </c>
      <c r="T33" s="184">
        <v>49</v>
      </c>
      <c r="U33" s="184">
        <v>16</v>
      </c>
      <c r="V33" s="185">
        <v>49</v>
      </c>
      <c r="W33" s="185">
        <v>16</v>
      </c>
      <c r="X33" s="183">
        <v>59</v>
      </c>
      <c r="Y33" s="183">
        <v>16</v>
      </c>
      <c r="Z33" s="185">
        <v>69</v>
      </c>
      <c r="AA33" s="185">
        <v>17</v>
      </c>
      <c r="AB33" s="186">
        <v>49</v>
      </c>
      <c r="AC33" s="186">
        <v>16</v>
      </c>
      <c r="AD33" s="372">
        <v>61</v>
      </c>
      <c r="AE33" s="372">
        <v>18</v>
      </c>
      <c r="AF33" s="187">
        <v>55</v>
      </c>
      <c r="AG33" s="187">
        <v>17.852799999999998</v>
      </c>
      <c r="AH33" s="198">
        <v>209</v>
      </c>
      <c r="AI33" s="198">
        <v>64</v>
      </c>
      <c r="AJ33" s="187">
        <v>77</v>
      </c>
      <c r="AK33" s="187">
        <v>24</v>
      </c>
      <c r="AL33" s="178">
        <v>55</v>
      </c>
      <c r="AM33" s="178">
        <v>17</v>
      </c>
      <c r="AN33" s="457">
        <f t="shared" si="6"/>
        <v>762850</v>
      </c>
      <c r="AO33" s="457">
        <f t="shared" si="7"/>
        <v>235790</v>
      </c>
      <c r="AP33" s="198">
        <v>6500</v>
      </c>
      <c r="AQ33" s="198">
        <v>2471.2800000000002</v>
      </c>
      <c r="AR33" s="253">
        <v>1000</v>
      </c>
      <c r="AS33" s="252"/>
    </row>
    <row r="34" spans="1:46" x14ac:dyDescent="0.2">
      <c r="A34" s="96" t="s">
        <v>236</v>
      </c>
      <c r="B34" s="180">
        <v>75</v>
      </c>
      <c r="C34" s="180">
        <v>42</v>
      </c>
      <c r="D34" s="453">
        <f t="shared" si="1"/>
        <v>4986</v>
      </c>
      <c r="E34" s="453">
        <f t="shared" si="2"/>
        <v>2792.1600000000003</v>
      </c>
      <c r="F34" s="181">
        <v>49</v>
      </c>
      <c r="G34" s="181">
        <v>29</v>
      </c>
      <c r="H34" s="455">
        <f t="shared" si="3"/>
        <v>583.1</v>
      </c>
      <c r="I34" s="455">
        <f t="shared" si="4"/>
        <v>345.1</v>
      </c>
      <c r="J34" s="184">
        <v>67</v>
      </c>
      <c r="K34" s="184">
        <v>33</v>
      </c>
      <c r="L34" s="187">
        <v>75</v>
      </c>
      <c r="M34" s="187">
        <f t="shared" si="0"/>
        <v>35.96</v>
      </c>
      <c r="N34" s="185">
        <v>67</v>
      </c>
      <c r="O34" s="185">
        <v>29</v>
      </c>
      <c r="P34" s="183">
        <v>67</v>
      </c>
      <c r="Q34" s="183">
        <v>35</v>
      </c>
      <c r="R34" s="186">
        <v>67</v>
      </c>
      <c r="S34" s="186">
        <v>35</v>
      </c>
      <c r="T34" s="184">
        <v>67</v>
      </c>
      <c r="U34" s="184">
        <v>35</v>
      </c>
      <c r="V34" s="185">
        <v>67</v>
      </c>
      <c r="W34" s="185">
        <v>35</v>
      </c>
      <c r="X34" s="183">
        <v>80</v>
      </c>
      <c r="Y34" s="183">
        <v>35</v>
      </c>
      <c r="Z34" s="185">
        <v>95</v>
      </c>
      <c r="AA34" s="185">
        <v>37</v>
      </c>
      <c r="AB34" s="186">
        <v>67</v>
      </c>
      <c r="AC34" s="186">
        <v>35</v>
      </c>
      <c r="AD34" s="372">
        <v>84</v>
      </c>
      <c r="AE34" s="372">
        <v>41</v>
      </c>
      <c r="AF34" s="187">
        <v>75</v>
      </c>
      <c r="AG34" s="187">
        <v>38.495099999999994</v>
      </c>
      <c r="AH34" s="198">
        <v>285</v>
      </c>
      <c r="AI34" s="198">
        <v>138</v>
      </c>
      <c r="AJ34" s="187">
        <v>105</v>
      </c>
      <c r="AK34" s="187">
        <v>51</v>
      </c>
      <c r="AL34" s="178">
        <v>75</v>
      </c>
      <c r="AM34" s="178">
        <v>37</v>
      </c>
      <c r="AN34" s="457">
        <f t="shared" si="6"/>
        <v>1040250</v>
      </c>
      <c r="AO34" s="457">
        <f t="shared" si="7"/>
        <v>513190</v>
      </c>
      <c r="AP34" s="198">
        <v>8900</v>
      </c>
      <c r="AQ34" s="198">
        <v>4942.5600000000004</v>
      </c>
      <c r="AR34" s="253">
        <v>1000</v>
      </c>
      <c r="AS34" s="252"/>
    </row>
    <row r="35" spans="1:46" x14ac:dyDescent="0.2">
      <c r="A35" s="96" t="s">
        <v>237</v>
      </c>
      <c r="B35" s="180">
        <v>55</v>
      </c>
      <c r="C35" s="180">
        <v>23</v>
      </c>
      <c r="D35" s="453">
        <f t="shared" si="1"/>
        <v>3656.4</v>
      </c>
      <c r="E35" s="453">
        <f t="shared" si="2"/>
        <v>1529.0400000000002</v>
      </c>
      <c r="F35" s="181">
        <v>32</v>
      </c>
      <c r="G35" s="181">
        <v>15</v>
      </c>
      <c r="H35" s="455">
        <f t="shared" si="3"/>
        <v>380.8</v>
      </c>
      <c r="I35" s="455">
        <f t="shared" si="4"/>
        <v>178.5</v>
      </c>
      <c r="J35" s="184">
        <v>45</v>
      </c>
      <c r="K35" s="184">
        <v>17</v>
      </c>
      <c r="L35" s="187">
        <v>55</v>
      </c>
      <c r="M35" s="187">
        <f t="shared" si="0"/>
        <v>18.600000000000001</v>
      </c>
      <c r="N35" s="185">
        <v>45</v>
      </c>
      <c r="O35" s="185">
        <v>19</v>
      </c>
      <c r="P35" s="183">
        <v>45</v>
      </c>
      <c r="Q35" s="183">
        <v>18</v>
      </c>
      <c r="R35" s="186">
        <v>45</v>
      </c>
      <c r="S35" s="186">
        <v>18</v>
      </c>
      <c r="T35" s="184">
        <v>45</v>
      </c>
      <c r="U35" s="184">
        <v>18</v>
      </c>
      <c r="V35" s="185">
        <v>45</v>
      </c>
      <c r="W35" s="185">
        <v>18</v>
      </c>
      <c r="X35" s="183">
        <v>54</v>
      </c>
      <c r="Y35" s="183">
        <v>18</v>
      </c>
      <c r="Z35" s="185">
        <v>64</v>
      </c>
      <c r="AA35" s="185">
        <v>19</v>
      </c>
      <c r="AB35" s="186">
        <v>45</v>
      </c>
      <c r="AC35" s="186">
        <v>18</v>
      </c>
      <c r="AD35" s="372">
        <v>56</v>
      </c>
      <c r="AE35" s="372">
        <v>21</v>
      </c>
      <c r="AF35" s="187">
        <v>50</v>
      </c>
      <c r="AG35" s="187">
        <v>18</v>
      </c>
      <c r="AH35" s="198">
        <v>190</v>
      </c>
      <c r="AI35" s="198">
        <v>67</v>
      </c>
      <c r="AJ35" s="187">
        <v>70</v>
      </c>
      <c r="AK35" s="187">
        <v>26</v>
      </c>
      <c r="AL35" s="178">
        <v>50</v>
      </c>
      <c r="AM35" s="178">
        <v>18</v>
      </c>
      <c r="AN35" s="457">
        <f t="shared" si="6"/>
        <v>693500</v>
      </c>
      <c r="AO35" s="457">
        <f t="shared" si="7"/>
        <v>249660</v>
      </c>
      <c r="AP35" s="198">
        <v>6500</v>
      </c>
      <c r="AQ35" s="198">
        <v>2222</v>
      </c>
      <c r="AR35" s="253">
        <v>1000</v>
      </c>
      <c r="AS35" s="252"/>
    </row>
    <row r="36" spans="1:46" x14ac:dyDescent="0.2">
      <c r="A36" s="96" t="s">
        <v>238</v>
      </c>
      <c r="B36" s="180">
        <v>35</v>
      </c>
      <c r="C36" s="180">
        <v>13</v>
      </c>
      <c r="D36" s="453">
        <f t="shared" si="1"/>
        <v>2326.8000000000002</v>
      </c>
      <c r="E36" s="453">
        <f t="shared" si="2"/>
        <v>864.24</v>
      </c>
      <c r="F36" s="181">
        <v>26</v>
      </c>
      <c r="G36" s="181">
        <v>11</v>
      </c>
      <c r="H36" s="455">
        <f t="shared" si="3"/>
        <v>309.40000000000003</v>
      </c>
      <c r="I36" s="455">
        <f t="shared" si="4"/>
        <v>130.9</v>
      </c>
      <c r="J36" s="184">
        <v>36</v>
      </c>
      <c r="K36" s="184">
        <v>12</v>
      </c>
      <c r="L36" s="187">
        <v>35</v>
      </c>
      <c r="M36" s="187">
        <f t="shared" si="0"/>
        <v>13.64</v>
      </c>
      <c r="N36" s="185">
        <v>36</v>
      </c>
      <c r="O36" s="185">
        <v>11</v>
      </c>
      <c r="P36" s="183">
        <v>36</v>
      </c>
      <c r="Q36" s="183">
        <v>13</v>
      </c>
      <c r="R36" s="186">
        <v>36</v>
      </c>
      <c r="S36" s="186">
        <v>13</v>
      </c>
      <c r="T36" s="184">
        <v>36</v>
      </c>
      <c r="U36" s="184">
        <v>13</v>
      </c>
      <c r="V36" s="185">
        <v>36</v>
      </c>
      <c r="W36" s="185">
        <v>13</v>
      </c>
      <c r="X36" s="183">
        <v>43</v>
      </c>
      <c r="Y36" s="183">
        <v>13</v>
      </c>
      <c r="Z36" s="185">
        <v>51</v>
      </c>
      <c r="AA36" s="185">
        <v>14</v>
      </c>
      <c r="AB36" s="186">
        <v>36</v>
      </c>
      <c r="AC36" s="186">
        <v>13</v>
      </c>
      <c r="AD36" s="372">
        <v>45</v>
      </c>
      <c r="AE36" s="372">
        <v>15</v>
      </c>
      <c r="AF36" s="187">
        <v>40</v>
      </c>
      <c r="AG36" s="187">
        <v>13</v>
      </c>
      <c r="AH36" s="198">
        <v>152</v>
      </c>
      <c r="AI36" s="198">
        <v>49</v>
      </c>
      <c r="AJ36" s="187">
        <v>56</v>
      </c>
      <c r="AK36" s="187">
        <v>19</v>
      </c>
      <c r="AL36" s="178">
        <v>40</v>
      </c>
      <c r="AM36" s="178">
        <v>13</v>
      </c>
      <c r="AN36" s="457">
        <f t="shared" si="6"/>
        <v>554800</v>
      </c>
      <c r="AO36" s="457">
        <f t="shared" si="7"/>
        <v>180310</v>
      </c>
      <c r="AP36" s="198">
        <v>4700</v>
      </c>
      <c r="AQ36" s="198">
        <v>1637</v>
      </c>
      <c r="AR36" s="253">
        <v>1000</v>
      </c>
      <c r="AS36" s="252"/>
    </row>
    <row r="37" spans="1:46" x14ac:dyDescent="0.2">
      <c r="A37" s="96" t="s">
        <v>239</v>
      </c>
      <c r="B37" s="180">
        <v>30</v>
      </c>
      <c r="C37" s="180">
        <v>8</v>
      </c>
      <c r="D37" s="453">
        <f t="shared" si="1"/>
        <v>1994.4</v>
      </c>
      <c r="E37" s="453">
        <f t="shared" si="2"/>
        <v>531.84</v>
      </c>
      <c r="F37" s="181">
        <v>23</v>
      </c>
      <c r="G37" s="181">
        <v>7</v>
      </c>
      <c r="H37" s="455">
        <f t="shared" si="3"/>
        <v>273.7</v>
      </c>
      <c r="I37" s="455">
        <f t="shared" si="4"/>
        <v>83.3</v>
      </c>
      <c r="J37" s="184">
        <v>26</v>
      </c>
      <c r="K37" s="184">
        <f t="shared" ref="K37" si="8">G37*1.17221</f>
        <v>8.20547</v>
      </c>
      <c r="L37" s="187">
        <v>30</v>
      </c>
      <c r="M37" s="187">
        <v>8</v>
      </c>
      <c r="N37" s="185">
        <v>31</v>
      </c>
      <c r="O37" s="185">
        <v>8</v>
      </c>
      <c r="P37" s="183">
        <v>31</v>
      </c>
      <c r="Q37" s="183">
        <v>9</v>
      </c>
      <c r="R37" s="186">
        <v>31</v>
      </c>
      <c r="S37" s="186">
        <v>9</v>
      </c>
      <c r="T37" s="184">
        <v>31</v>
      </c>
      <c r="U37" s="184">
        <v>9</v>
      </c>
      <c r="V37" s="185">
        <v>31</v>
      </c>
      <c r="W37" s="185">
        <v>9</v>
      </c>
      <c r="X37" s="183">
        <v>31</v>
      </c>
      <c r="Y37" s="183">
        <v>9</v>
      </c>
      <c r="Z37" s="185">
        <v>33</v>
      </c>
      <c r="AA37" s="185">
        <v>10</v>
      </c>
      <c r="AB37" s="186">
        <v>31</v>
      </c>
      <c r="AC37" s="186">
        <v>9</v>
      </c>
      <c r="AD37" s="372">
        <v>36</v>
      </c>
      <c r="AE37" s="372">
        <v>10</v>
      </c>
      <c r="AF37" s="187">
        <v>35</v>
      </c>
      <c r="AG37" s="187">
        <v>8.9263999999999992</v>
      </c>
      <c r="AH37" s="198">
        <v>80</v>
      </c>
      <c r="AI37" s="198">
        <v>32</v>
      </c>
      <c r="AJ37" s="187">
        <v>49</v>
      </c>
      <c r="AK37" s="187">
        <v>12</v>
      </c>
      <c r="AL37" s="178">
        <v>35</v>
      </c>
      <c r="AM37" s="178">
        <v>9</v>
      </c>
      <c r="AN37" s="457">
        <f t="shared" si="6"/>
        <v>485450</v>
      </c>
      <c r="AO37" s="457">
        <f t="shared" si="7"/>
        <v>124830</v>
      </c>
      <c r="AP37" s="198">
        <v>4100</v>
      </c>
      <c r="AQ37" s="198">
        <f>C37*117.68</f>
        <v>941.44</v>
      </c>
      <c r="AR37" s="253">
        <v>1000</v>
      </c>
      <c r="AS37" s="252"/>
    </row>
    <row r="38" spans="1:46" x14ac:dyDescent="0.2">
      <c r="A38" s="96" t="s">
        <v>266</v>
      </c>
      <c r="B38" s="180">
        <v>75</v>
      </c>
      <c r="C38" s="180">
        <v>42</v>
      </c>
      <c r="D38" s="453">
        <f t="shared" ref="D38" si="9">B38*66.48</f>
        <v>4986</v>
      </c>
      <c r="E38" s="453">
        <f t="shared" ref="E38" si="10">C38*66.48</f>
        <v>2792.1600000000003</v>
      </c>
      <c r="F38" s="181">
        <v>49</v>
      </c>
      <c r="G38" s="181">
        <v>29</v>
      </c>
      <c r="H38" s="455">
        <f t="shared" ref="H38" si="11">F38*11.9</f>
        <v>583.1</v>
      </c>
      <c r="I38" s="455">
        <f t="shared" ref="I38" si="12">G38*11.9</f>
        <v>345.1</v>
      </c>
      <c r="J38" s="184">
        <v>67</v>
      </c>
      <c r="K38" s="184">
        <v>33</v>
      </c>
      <c r="L38" s="187">
        <v>75</v>
      </c>
      <c r="M38" s="187">
        <v>42</v>
      </c>
      <c r="N38" s="185">
        <v>67</v>
      </c>
      <c r="O38" s="185">
        <v>29.4</v>
      </c>
      <c r="P38" s="183">
        <v>67</v>
      </c>
      <c r="Q38" s="183">
        <v>35</v>
      </c>
      <c r="R38" s="186">
        <v>67</v>
      </c>
      <c r="S38" s="186">
        <v>35</v>
      </c>
      <c r="T38" s="184">
        <v>67</v>
      </c>
      <c r="U38" s="184">
        <v>35</v>
      </c>
      <c r="V38" s="185">
        <v>67</v>
      </c>
      <c r="W38" s="185">
        <v>35</v>
      </c>
      <c r="X38" s="183">
        <v>67</v>
      </c>
      <c r="Y38" s="183">
        <v>35</v>
      </c>
      <c r="Z38" s="185">
        <v>95</v>
      </c>
      <c r="AA38" s="185">
        <v>37</v>
      </c>
      <c r="AB38" s="186">
        <v>67</v>
      </c>
      <c r="AC38" s="186">
        <v>35</v>
      </c>
      <c r="AD38" s="372">
        <v>84</v>
      </c>
      <c r="AE38" s="372">
        <v>41</v>
      </c>
      <c r="AF38" s="187">
        <v>75</v>
      </c>
      <c r="AG38" s="187">
        <v>38</v>
      </c>
      <c r="AH38" s="198">
        <v>285</v>
      </c>
      <c r="AI38" s="198">
        <v>138</v>
      </c>
      <c r="AJ38" s="187">
        <v>105</v>
      </c>
      <c r="AK38" s="187">
        <v>51</v>
      </c>
      <c r="AL38" s="178">
        <v>75</v>
      </c>
      <c r="AM38" s="178">
        <v>37</v>
      </c>
      <c r="AN38" s="457">
        <f t="shared" ref="AN38" si="13">AL38*13870</f>
        <v>1040250</v>
      </c>
      <c r="AO38" s="457">
        <f t="shared" ref="AO38" si="14">AM38*13870</f>
        <v>513190</v>
      </c>
      <c r="AP38" s="198">
        <v>8900</v>
      </c>
      <c r="AQ38" s="198">
        <f t="shared" ref="AQ38" si="15">C38*117.68</f>
        <v>4942.5600000000004</v>
      </c>
      <c r="AR38" s="253">
        <v>1000</v>
      </c>
      <c r="AS38" s="252"/>
    </row>
    <row r="39" spans="1:46" x14ac:dyDescent="0.2">
      <c r="A39" s="96" t="s">
        <v>240</v>
      </c>
      <c r="B39" s="180">
        <v>75</v>
      </c>
      <c r="C39" s="180">
        <v>21</v>
      </c>
      <c r="D39" s="453">
        <f t="shared" si="1"/>
        <v>4986</v>
      </c>
      <c r="E39" s="453">
        <f t="shared" si="2"/>
        <v>1396.0800000000002</v>
      </c>
      <c r="F39" s="181">
        <v>60</v>
      </c>
      <c r="G39" s="181">
        <v>22</v>
      </c>
      <c r="H39" s="455">
        <f t="shared" si="3"/>
        <v>714</v>
      </c>
      <c r="I39" s="455">
        <f t="shared" si="4"/>
        <v>261.8</v>
      </c>
      <c r="J39" s="184">
        <v>68</v>
      </c>
      <c r="K39" s="184">
        <v>25</v>
      </c>
      <c r="L39" s="187">
        <v>75</v>
      </c>
      <c r="M39" s="187">
        <v>21</v>
      </c>
      <c r="N39" s="185">
        <v>67</v>
      </c>
      <c r="O39" s="185">
        <v>35</v>
      </c>
      <c r="P39" s="183">
        <v>67</v>
      </c>
      <c r="Q39" s="183">
        <v>35</v>
      </c>
      <c r="R39" s="186">
        <v>67</v>
      </c>
      <c r="S39" s="186">
        <v>35</v>
      </c>
      <c r="T39" s="184">
        <v>67</v>
      </c>
      <c r="U39" s="184">
        <v>35</v>
      </c>
      <c r="V39" s="185">
        <v>67</v>
      </c>
      <c r="W39" s="185">
        <v>35</v>
      </c>
      <c r="X39" s="183">
        <v>67</v>
      </c>
      <c r="Y39" s="183">
        <v>35</v>
      </c>
      <c r="Z39" s="185">
        <v>75</v>
      </c>
      <c r="AA39" s="185">
        <v>28</v>
      </c>
      <c r="AB39" s="186">
        <v>67</v>
      </c>
      <c r="AC39" s="186">
        <v>35</v>
      </c>
      <c r="AD39" s="372">
        <v>78</v>
      </c>
      <c r="AE39" s="372">
        <v>41</v>
      </c>
      <c r="AF39" s="187">
        <v>75</v>
      </c>
      <c r="AG39" s="187">
        <v>28</v>
      </c>
      <c r="AH39" s="198">
        <v>180</v>
      </c>
      <c r="AI39" s="198">
        <v>130</v>
      </c>
      <c r="AJ39" s="187">
        <v>105</v>
      </c>
      <c r="AK39" s="187">
        <v>51</v>
      </c>
      <c r="AL39" s="178">
        <v>75</v>
      </c>
      <c r="AM39" s="178">
        <v>37</v>
      </c>
      <c r="AN39" s="457">
        <f t="shared" si="6"/>
        <v>1040250</v>
      </c>
      <c r="AO39" s="457">
        <f t="shared" si="7"/>
        <v>513190</v>
      </c>
      <c r="AP39" s="198">
        <v>8900</v>
      </c>
      <c r="AQ39" s="198">
        <v>4354</v>
      </c>
      <c r="AR39" s="253">
        <v>100000</v>
      </c>
      <c r="AS39" s="252"/>
    </row>
    <row r="41" spans="1:46" s="188" customFormat="1" x14ac:dyDescent="0.2">
      <c r="B41" s="188">
        <v>2</v>
      </c>
      <c r="C41" s="188">
        <v>3</v>
      </c>
      <c r="D41" s="188">
        <v>4</v>
      </c>
      <c r="E41" s="188">
        <v>5</v>
      </c>
      <c r="F41" s="188">
        <v>6</v>
      </c>
      <c r="G41" s="188">
        <v>7</v>
      </c>
      <c r="H41" s="188">
        <v>8</v>
      </c>
      <c r="I41" s="188">
        <v>9</v>
      </c>
      <c r="J41" s="188">
        <v>10</v>
      </c>
      <c r="K41" s="188">
        <v>11</v>
      </c>
      <c r="L41" s="188">
        <v>12</v>
      </c>
      <c r="M41" s="188">
        <v>13</v>
      </c>
      <c r="N41" s="188">
        <v>14</v>
      </c>
      <c r="O41" s="188">
        <v>15</v>
      </c>
      <c r="P41" s="188">
        <v>16</v>
      </c>
      <c r="Q41" s="188">
        <v>17</v>
      </c>
      <c r="R41" s="188">
        <v>18</v>
      </c>
      <c r="S41" s="188">
        <v>19</v>
      </c>
      <c r="T41" s="188">
        <v>20</v>
      </c>
      <c r="U41" s="188">
        <v>21</v>
      </c>
      <c r="V41" s="188">
        <v>22</v>
      </c>
      <c r="W41" s="188">
        <v>23</v>
      </c>
      <c r="X41" s="188">
        <v>24</v>
      </c>
      <c r="Y41" s="188">
        <v>25</v>
      </c>
      <c r="Z41" s="188">
        <v>26</v>
      </c>
      <c r="AA41" s="188">
        <v>27</v>
      </c>
      <c r="AB41" s="188">
        <v>28</v>
      </c>
      <c r="AC41" s="188">
        <v>29</v>
      </c>
      <c r="AD41" s="188">
        <v>30</v>
      </c>
      <c r="AE41" s="188">
        <v>31</v>
      </c>
      <c r="AF41" s="188">
        <v>32</v>
      </c>
      <c r="AG41" s="188">
        <v>33</v>
      </c>
      <c r="AH41" s="188">
        <v>34</v>
      </c>
      <c r="AI41" s="188">
        <v>35</v>
      </c>
      <c r="AJ41" s="188">
        <v>36</v>
      </c>
      <c r="AK41" s="188">
        <v>37</v>
      </c>
      <c r="AL41" s="188">
        <v>38</v>
      </c>
      <c r="AM41" s="188">
        <v>39</v>
      </c>
      <c r="AN41" s="188">
        <v>40</v>
      </c>
      <c r="AO41" s="188">
        <v>41</v>
      </c>
      <c r="AP41" s="188">
        <v>42</v>
      </c>
      <c r="AQ41" s="188">
        <v>43</v>
      </c>
      <c r="AR41" s="253">
        <v>44</v>
      </c>
      <c r="AT41" s="253"/>
    </row>
    <row r="42" spans="1:46" s="188" customFormat="1" x14ac:dyDescent="0.2">
      <c r="A42" s="189" t="s">
        <v>132</v>
      </c>
      <c r="B42" s="188">
        <v>2</v>
      </c>
      <c r="C42" s="188">
        <v>3</v>
      </c>
      <c r="AR42" s="253"/>
      <c r="AS42" s="253"/>
    </row>
    <row r="43" spans="1:46" s="188" customFormat="1" x14ac:dyDescent="0.2">
      <c r="A43" s="192" t="s">
        <v>263</v>
      </c>
      <c r="B43" s="188">
        <v>4</v>
      </c>
      <c r="C43" s="188">
        <v>5</v>
      </c>
      <c r="AR43" s="253"/>
      <c r="AS43" s="253"/>
    </row>
    <row r="44" spans="1:46" s="188" customFormat="1" x14ac:dyDescent="0.2">
      <c r="A44" s="192" t="s">
        <v>168</v>
      </c>
      <c r="B44" s="188">
        <v>6</v>
      </c>
      <c r="C44" s="188">
        <v>7</v>
      </c>
      <c r="AR44" s="253"/>
      <c r="AS44" s="253"/>
    </row>
    <row r="45" spans="1:46" s="188" customFormat="1" x14ac:dyDescent="0.2">
      <c r="A45" s="192" t="s">
        <v>261</v>
      </c>
      <c r="B45" s="188">
        <v>8</v>
      </c>
      <c r="C45" s="188">
        <v>9</v>
      </c>
      <c r="AR45" s="253"/>
      <c r="AS45" s="253"/>
    </row>
    <row r="46" spans="1:46" s="188" customFormat="1" x14ac:dyDescent="0.2">
      <c r="A46" s="192" t="s">
        <v>169</v>
      </c>
      <c r="B46" s="188">
        <v>10</v>
      </c>
      <c r="C46" s="188">
        <v>11</v>
      </c>
      <c r="AR46" s="253"/>
      <c r="AS46" s="253"/>
    </row>
    <row r="47" spans="1:46" s="188" customFormat="1" x14ac:dyDescent="0.2">
      <c r="A47" s="192" t="s">
        <v>174</v>
      </c>
      <c r="B47" s="188">
        <v>12</v>
      </c>
      <c r="C47" s="188">
        <v>13</v>
      </c>
      <c r="AR47" s="253"/>
      <c r="AS47" s="253"/>
    </row>
    <row r="48" spans="1:46" s="188" customFormat="1" x14ac:dyDescent="0.2">
      <c r="A48" s="192" t="s">
        <v>171</v>
      </c>
      <c r="B48" s="188">
        <v>14</v>
      </c>
      <c r="C48" s="188">
        <v>15</v>
      </c>
      <c r="AR48" s="253"/>
      <c r="AS48" s="253"/>
    </row>
    <row r="49" spans="1:45" s="188" customFormat="1" x14ac:dyDescent="0.2">
      <c r="A49" s="189" t="s">
        <v>146</v>
      </c>
      <c r="B49" s="188">
        <v>16</v>
      </c>
      <c r="C49" s="188">
        <v>17</v>
      </c>
      <c r="AR49" s="253"/>
      <c r="AS49" s="253"/>
    </row>
    <row r="50" spans="1:45" s="188" customFormat="1" x14ac:dyDescent="0.2">
      <c r="A50" s="192" t="s">
        <v>194</v>
      </c>
      <c r="B50" s="175">
        <v>18</v>
      </c>
      <c r="C50" s="175">
        <v>19</v>
      </c>
      <c r="AR50" s="253"/>
      <c r="AS50" s="253"/>
    </row>
    <row r="51" spans="1:45" s="188" customFormat="1" x14ac:dyDescent="0.2">
      <c r="A51" s="189" t="s">
        <v>147</v>
      </c>
      <c r="B51" s="235">
        <v>20</v>
      </c>
      <c r="C51" s="235">
        <v>21</v>
      </c>
      <c r="AR51" s="253"/>
      <c r="AS51" s="253"/>
    </row>
    <row r="52" spans="1:45" x14ac:dyDescent="0.2">
      <c r="A52" s="189" t="s">
        <v>148</v>
      </c>
      <c r="B52" s="235">
        <v>22</v>
      </c>
      <c r="C52" s="235">
        <v>23</v>
      </c>
      <c r="D52" s="175"/>
      <c r="E52" s="175"/>
    </row>
    <row r="53" spans="1:45" x14ac:dyDescent="0.2">
      <c r="A53" s="192" t="s">
        <v>197</v>
      </c>
      <c r="B53" s="175">
        <v>24</v>
      </c>
      <c r="C53" s="175">
        <v>25</v>
      </c>
      <c r="D53" s="235"/>
      <c r="E53" s="235"/>
    </row>
    <row r="54" spans="1:45" x14ac:dyDescent="0.2">
      <c r="A54" s="192" t="s">
        <v>198</v>
      </c>
      <c r="B54" s="175">
        <v>26</v>
      </c>
      <c r="C54" s="175">
        <v>27</v>
      </c>
      <c r="D54" s="235"/>
      <c r="E54" s="235"/>
    </row>
    <row r="55" spans="1:45" x14ac:dyDescent="0.2">
      <c r="A55" s="192" t="s">
        <v>151</v>
      </c>
      <c r="B55" s="175">
        <v>28</v>
      </c>
      <c r="C55" s="175">
        <v>29</v>
      </c>
      <c r="D55" s="175"/>
      <c r="E55" s="175"/>
    </row>
    <row r="56" spans="1:45" x14ac:dyDescent="0.2">
      <c r="A56" s="192" t="s">
        <v>243</v>
      </c>
      <c r="B56" s="175">
        <v>30</v>
      </c>
      <c r="C56" s="175">
        <v>31</v>
      </c>
      <c r="D56" s="175"/>
      <c r="E56" s="175"/>
    </row>
    <row r="57" spans="1:45" x14ac:dyDescent="0.2">
      <c r="A57" s="192" t="s">
        <v>175</v>
      </c>
      <c r="B57" s="175">
        <v>32</v>
      </c>
      <c r="C57" s="175">
        <v>33</v>
      </c>
      <c r="D57" s="175"/>
      <c r="E57" s="175"/>
    </row>
    <row r="58" spans="1:45" x14ac:dyDescent="0.2">
      <c r="A58" s="192" t="s">
        <v>176</v>
      </c>
      <c r="B58" s="175">
        <v>34</v>
      </c>
      <c r="C58" s="175">
        <v>35</v>
      </c>
      <c r="D58" s="175"/>
      <c r="E58" s="175"/>
    </row>
    <row r="59" spans="1:45" x14ac:dyDescent="0.2">
      <c r="A59" s="189" t="s">
        <v>149</v>
      </c>
      <c r="B59" s="175">
        <v>36</v>
      </c>
      <c r="C59" s="175">
        <v>37</v>
      </c>
      <c r="D59" s="175"/>
      <c r="E59" s="175"/>
    </row>
    <row r="60" spans="1:45" x14ac:dyDescent="0.2">
      <c r="A60" s="189" t="s">
        <v>150</v>
      </c>
      <c r="B60" s="175">
        <v>38</v>
      </c>
      <c r="C60" s="175">
        <v>39</v>
      </c>
      <c r="D60" s="175"/>
      <c r="E60" s="175"/>
    </row>
    <row r="61" spans="1:45" x14ac:dyDescent="0.2">
      <c r="A61" s="192" t="s">
        <v>264</v>
      </c>
      <c r="B61" s="223">
        <v>40</v>
      </c>
      <c r="C61" s="223">
        <v>41</v>
      </c>
      <c r="D61" s="175"/>
      <c r="E61" s="175"/>
    </row>
    <row r="62" spans="1:45" x14ac:dyDescent="0.2">
      <c r="A62" s="192" t="s">
        <v>156</v>
      </c>
      <c r="B62" s="175">
        <v>42</v>
      </c>
      <c r="C62" s="175">
        <v>43</v>
      </c>
      <c r="D62" s="175"/>
      <c r="E62" s="175"/>
    </row>
    <row r="63" spans="1:45" x14ac:dyDescent="0.2">
      <c r="A63" s="192" t="s">
        <v>204</v>
      </c>
      <c r="B63" s="223">
        <v>44</v>
      </c>
      <c r="C63" s="223">
        <v>44</v>
      </c>
      <c r="D63" s="223"/>
      <c r="E63" s="223"/>
    </row>
    <row r="64" spans="1:45" x14ac:dyDescent="0.2">
      <c r="B64" s="223" t="s">
        <v>241</v>
      </c>
    </row>
    <row r="65" spans="1:2" x14ac:dyDescent="0.2">
      <c r="A65" s="96" t="s">
        <v>205</v>
      </c>
      <c r="B65" s="223" t="s">
        <v>244</v>
      </c>
    </row>
    <row r="66" spans="1:2" x14ac:dyDescent="0.2">
      <c r="A66" s="96" t="s">
        <v>206</v>
      </c>
      <c r="B66" s="223" t="s">
        <v>244</v>
      </c>
    </row>
    <row r="67" spans="1:2" x14ac:dyDescent="0.2">
      <c r="A67" s="96" t="s">
        <v>207</v>
      </c>
      <c r="B67" s="223" t="s">
        <v>242</v>
      </c>
    </row>
    <row r="68" spans="1:2" x14ac:dyDescent="0.2">
      <c r="A68" s="96" t="s">
        <v>208</v>
      </c>
      <c r="B68" s="223" t="s">
        <v>242</v>
      </c>
    </row>
    <row r="69" spans="1:2" x14ac:dyDescent="0.2">
      <c r="A69" s="96" t="s">
        <v>209</v>
      </c>
      <c r="B69" s="223" t="s">
        <v>242</v>
      </c>
    </row>
    <row r="70" spans="1:2" x14ac:dyDescent="0.2">
      <c r="A70" s="96" t="s">
        <v>210</v>
      </c>
      <c r="B70" s="223" t="s">
        <v>242</v>
      </c>
    </row>
    <row r="71" spans="1:2" x14ac:dyDescent="0.2">
      <c r="A71" s="96" t="s">
        <v>211</v>
      </c>
      <c r="B71" s="223" t="s">
        <v>242</v>
      </c>
    </row>
    <row r="72" spans="1:2" x14ac:dyDescent="0.2">
      <c r="A72" s="96" t="s">
        <v>212</v>
      </c>
      <c r="B72" s="223" t="s">
        <v>242</v>
      </c>
    </row>
    <row r="73" spans="1:2" x14ac:dyDescent="0.2">
      <c r="A73" s="96" t="s">
        <v>213</v>
      </c>
      <c r="B73" s="223" t="s">
        <v>242</v>
      </c>
    </row>
    <row r="74" spans="1:2" x14ac:dyDescent="0.2">
      <c r="A74" s="96" t="s">
        <v>214</v>
      </c>
      <c r="B74" s="223" t="s">
        <v>242</v>
      </c>
    </row>
    <row r="75" spans="1:2" x14ac:dyDescent="0.2">
      <c r="A75" s="96" t="s">
        <v>215</v>
      </c>
      <c r="B75" s="223" t="s">
        <v>242</v>
      </c>
    </row>
    <row r="76" spans="1:2" x14ac:dyDescent="0.2">
      <c r="A76" s="190" t="s">
        <v>216</v>
      </c>
      <c r="B76" s="223" t="s">
        <v>242</v>
      </c>
    </row>
    <row r="77" spans="1:2" x14ac:dyDescent="0.2">
      <c r="A77" s="190" t="s">
        <v>217</v>
      </c>
      <c r="B77" s="223" t="s">
        <v>242</v>
      </c>
    </row>
    <row r="78" spans="1:2" x14ac:dyDescent="0.2">
      <c r="A78" s="190" t="s">
        <v>218</v>
      </c>
      <c r="B78" s="223" t="s">
        <v>242</v>
      </c>
    </row>
    <row r="79" spans="1:2" x14ac:dyDescent="0.2">
      <c r="A79" s="190" t="s">
        <v>219</v>
      </c>
      <c r="B79" s="223" t="s">
        <v>242</v>
      </c>
    </row>
    <row r="80" spans="1:2" x14ac:dyDescent="0.2">
      <c r="A80" s="190" t="s">
        <v>220</v>
      </c>
      <c r="B80" s="223" t="s">
        <v>242</v>
      </c>
    </row>
    <row r="81" spans="1:2" x14ac:dyDescent="0.2">
      <c r="A81" s="190" t="s">
        <v>221</v>
      </c>
      <c r="B81" s="223" t="s">
        <v>245</v>
      </c>
    </row>
    <row r="82" spans="1:2" x14ac:dyDescent="0.2">
      <c r="A82" s="190" t="s">
        <v>222</v>
      </c>
      <c r="B82" s="223" t="s">
        <v>245</v>
      </c>
    </row>
    <row r="83" spans="1:2" x14ac:dyDescent="0.2">
      <c r="A83" s="96" t="s">
        <v>223</v>
      </c>
      <c r="B83" s="223" t="s">
        <v>245</v>
      </c>
    </row>
    <row r="84" spans="1:2" x14ac:dyDescent="0.2">
      <c r="A84" s="96" t="s">
        <v>224</v>
      </c>
      <c r="B84" s="223" t="s">
        <v>245</v>
      </c>
    </row>
    <row r="85" spans="1:2" x14ac:dyDescent="0.2">
      <c r="A85" s="96" t="s">
        <v>225</v>
      </c>
      <c r="B85" s="223" t="s">
        <v>245</v>
      </c>
    </row>
    <row r="86" spans="1:2" x14ac:dyDescent="0.2">
      <c r="A86" s="96" t="s">
        <v>226</v>
      </c>
      <c r="B86" s="223" t="s">
        <v>246</v>
      </c>
    </row>
    <row r="87" spans="1:2" x14ac:dyDescent="0.2">
      <c r="A87" s="96" t="s">
        <v>227</v>
      </c>
      <c r="B87" s="223" t="s">
        <v>246</v>
      </c>
    </row>
    <row r="88" spans="1:2" x14ac:dyDescent="0.2">
      <c r="A88" s="96" t="s">
        <v>228</v>
      </c>
      <c r="B88" s="223" t="s">
        <v>246</v>
      </c>
    </row>
    <row r="89" spans="1:2" x14ac:dyDescent="0.2">
      <c r="A89" s="96" t="s">
        <v>229</v>
      </c>
      <c r="B89" s="223" t="s">
        <v>246</v>
      </c>
    </row>
    <row r="90" spans="1:2" x14ac:dyDescent="0.2">
      <c r="A90" s="96" t="s">
        <v>230</v>
      </c>
      <c r="B90" s="223" t="s">
        <v>246</v>
      </c>
    </row>
    <row r="91" spans="1:2" x14ac:dyDescent="0.2">
      <c r="A91" s="96" t="s">
        <v>231</v>
      </c>
      <c r="B91" s="223" t="s">
        <v>246</v>
      </c>
    </row>
    <row r="92" spans="1:2" x14ac:dyDescent="0.2">
      <c r="A92" s="96" t="s">
        <v>232</v>
      </c>
      <c r="B92" s="223" t="s">
        <v>246</v>
      </c>
    </row>
    <row r="93" spans="1:2" x14ac:dyDescent="0.2">
      <c r="A93" s="96" t="s">
        <v>233</v>
      </c>
      <c r="B93" s="223" t="s">
        <v>246</v>
      </c>
    </row>
    <row r="94" spans="1:2" x14ac:dyDescent="0.2">
      <c r="A94" s="96" t="s">
        <v>234</v>
      </c>
      <c r="B94" s="223" t="s">
        <v>247</v>
      </c>
    </row>
    <row r="95" spans="1:2" x14ac:dyDescent="0.2">
      <c r="A95" s="96" t="s">
        <v>235</v>
      </c>
      <c r="B95" s="223" t="s">
        <v>247</v>
      </c>
    </row>
    <row r="96" spans="1:2" x14ac:dyDescent="0.2">
      <c r="A96" s="96" t="s">
        <v>236</v>
      </c>
      <c r="B96" s="223" t="s">
        <v>247</v>
      </c>
    </row>
    <row r="97" spans="1:2" x14ac:dyDescent="0.2">
      <c r="A97" s="96" t="s">
        <v>237</v>
      </c>
      <c r="B97" s="223" t="s">
        <v>247</v>
      </c>
    </row>
    <row r="98" spans="1:2" x14ac:dyDescent="0.2">
      <c r="A98" s="96" t="s">
        <v>238</v>
      </c>
      <c r="B98" s="223" t="s">
        <v>247</v>
      </c>
    </row>
    <row r="99" spans="1:2" x14ac:dyDescent="0.2">
      <c r="A99" s="96" t="s">
        <v>239</v>
      </c>
      <c r="B99" s="223" t="s">
        <v>247</v>
      </c>
    </row>
    <row r="100" spans="1:2" x14ac:dyDescent="0.2">
      <c r="A100" s="96" t="s">
        <v>266</v>
      </c>
      <c r="B100" s="223" t="s">
        <v>245</v>
      </c>
    </row>
    <row r="101" spans="1:2" x14ac:dyDescent="0.2">
      <c r="A101" s="96" t="s">
        <v>240</v>
      </c>
      <c r="B101" s="223" t="s">
        <v>245</v>
      </c>
    </row>
    <row r="105" spans="1:2" x14ac:dyDescent="0.2">
      <c r="A105" s="96" t="s">
        <v>205</v>
      </c>
    </row>
    <row r="106" spans="1:2" x14ac:dyDescent="0.2">
      <c r="A106" s="96" t="s">
        <v>206</v>
      </c>
    </row>
    <row r="107" spans="1:2" x14ac:dyDescent="0.2">
      <c r="A107" s="96" t="s">
        <v>207</v>
      </c>
    </row>
    <row r="108" spans="1:2" x14ac:dyDescent="0.2">
      <c r="A108" s="96" t="s">
        <v>208</v>
      </c>
    </row>
    <row r="109" spans="1:2" x14ac:dyDescent="0.2">
      <c r="A109" s="96" t="s">
        <v>209</v>
      </c>
    </row>
    <row r="110" spans="1:2" x14ac:dyDescent="0.2">
      <c r="A110" s="96" t="s">
        <v>210</v>
      </c>
    </row>
    <row r="111" spans="1:2" x14ac:dyDescent="0.2">
      <c r="A111" s="96" t="s">
        <v>211</v>
      </c>
    </row>
    <row r="112" spans="1:2" x14ac:dyDescent="0.2">
      <c r="A112" s="96" t="s">
        <v>212</v>
      </c>
    </row>
    <row r="113" spans="1:1" x14ac:dyDescent="0.2">
      <c r="A113" s="96" t="s">
        <v>213</v>
      </c>
    </row>
    <row r="114" spans="1:1" x14ac:dyDescent="0.2">
      <c r="A114" s="96" t="s">
        <v>214</v>
      </c>
    </row>
    <row r="115" spans="1:1" x14ac:dyDescent="0.2">
      <c r="A115" s="96" t="s">
        <v>215</v>
      </c>
    </row>
    <row r="116" spans="1:1" x14ac:dyDescent="0.2">
      <c r="A116" s="190" t="s">
        <v>216</v>
      </c>
    </row>
    <row r="117" spans="1:1" x14ac:dyDescent="0.2">
      <c r="A117" s="190" t="s">
        <v>217</v>
      </c>
    </row>
    <row r="118" spans="1:1" x14ac:dyDescent="0.2">
      <c r="A118" s="190" t="s">
        <v>218</v>
      </c>
    </row>
    <row r="119" spans="1:1" x14ac:dyDescent="0.2">
      <c r="A119" s="190" t="s">
        <v>219</v>
      </c>
    </row>
    <row r="120" spans="1:1" x14ac:dyDescent="0.2">
      <c r="A120" s="190" t="s">
        <v>220</v>
      </c>
    </row>
    <row r="121" spans="1:1" x14ac:dyDescent="0.2">
      <c r="A121" s="190" t="s">
        <v>221</v>
      </c>
    </row>
    <row r="122" spans="1:1" x14ac:dyDescent="0.2">
      <c r="A122" s="190" t="s">
        <v>222</v>
      </c>
    </row>
    <row r="123" spans="1:1" x14ac:dyDescent="0.2">
      <c r="A123" s="96" t="s">
        <v>223</v>
      </c>
    </row>
    <row r="124" spans="1:1" x14ac:dyDescent="0.2">
      <c r="A124" s="96" t="s">
        <v>224</v>
      </c>
    </row>
    <row r="125" spans="1:1" x14ac:dyDescent="0.2">
      <c r="A125" s="96" t="s">
        <v>225</v>
      </c>
    </row>
    <row r="126" spans="1:1" x14ac:dyDescent="0.2">
      <c r="A126" s="96" t="s">
        <v>226</v>
      </c>
    </row>
    <row r="127" spans="1:1" x14ac:dyDescent="0.2">
      <c r="A127" s="96" t="s">
        <v>227</v>
      </c>
    </row>
    <row r="128" spans="1:1" x14ac:dyDescent="0.2">
      <c r="A128" s="96" t="s">
        <v>228</v>
      </c>
    </row>
    <row r="129" spans="1:1" x14ac:dyDescent="0.2">
      <c r="A129" s="96" t="s">
        <v>229</v>
      </c>
    </row>
    <row r="130" spans="1:1" x14ac:dyDescent="0.2">
      <c r="A130" s="96" t="s">
        <v>230</v>
      </c>
    </row>
    <row r="131" spans="1:1" x14ac:dyDescent="0.2">
      <c r="A131" s="96" t="s">
        <v>231</v>
      </c>
    </row>
    <row r="132" spans="1:1" x14ac:dyDescent="0.2">
      <c r="A132" s="96" t="s">
        <v>232</v>
      </c>
    </row>
    <row r="133" spans="1:1" x14ac:dyDescent="0.2">
      <c r="A133" s="96" t="s">
        <v>233</v>
      </c>
    </row>
    <row r="134" spans="1:1" x14ac:dyDescent="0.2">
      <c r="A134" s="96" t="s">
        <v>234</v>
      </c>
    </row>
    <row r="135" spans="1:1" x14ac:dyDescent="0.2">
      <c r="A135" s="96" t="s">
        <v>235</v>
      </c>
    </row>
    <row r="136" spans="1:1" x14ac:dyDescent="0.2">
      <c r="A136" s="96" t="s">
        <v>236</v>
      </c>
    </row>
    <row r="137" spans="1:1" x14ac:dyDescent="0.2">
      <c r="A137" s="96" t="s">
        <v>237</v>
      </c>
    </row>
    <row r="138" spans="1:1" x14ac:dyDescent="0.2">
      <c r="A138" s="96" t="s">
        <v>238</v>
      </c>
    </row>
    <row r="139" spans="1:1" x14ac:dyDescent="0.2">
      <c r="A139" s="96" t="s">
        <v>239</v>
      </c>
    </row>
    <row r="140" spans="1:1" x14ac:dyDescent="0.2">
      <c r="A140" s="96" t="s">
        <v>240</v>
      </c>
    </row>
  </sheetData>
  <sheetProtection algorithmName="SHA-512" hashValue="QAWxJ4IqftiKs+5zQ0O0YAoC3Evgydv4TddfrgHAwWFDTuEy4xXUZboDgDJUrcK+pWSkDzLSZvj1ACAv18ABvw==" saltValue="5I20SN4d4ufyO+MqzKSe5Q==" spinCount="100000" sheet="1" objects="1" scenarios="1"/>
  <mergeCells count="22">
    <mergeCell ref="B1:C1"/>
    <mergeCell ref="F1:G1"/>
    <mergeCell ref="P1:Q1"/>
    <mergeCell ref="T1:U1"/>
    <mergeCell ref="V1:W1"/>
    <mergeCell ref="J1:K1"/>
    <mergeCell ref="N1:O1"/>
    <mergeCell ref="L1:M1"/>
    <mergeCell ref="R1:S1"/>
    <mergeCell ref="D1:E1"/>
    <mergeCell ref="H1:I1"/>
    <mergeCell ref="X1:Y1"/>
    <mergeCell ref="Z1:AA1"/>
    <mergeCell ref="AD1:AE1"/>
    <mergeCell ref="AR1:AS1"/>
    <mergeCell ref="AP1:AQ1"/>
    <mergeCell ref="AJ1:AK1"/>
    <mergeCell ref="AL1:AM1"/>
    <mergeCell ref="AB1:AC1"/>
    <mergeCell ref="AF1:AG1"/>
    <mergeCell ref="AH1:AI1"/>
    <mergeCell ref="AN1:AO1"/>
  </mergeCell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26">
    <tabColor rgb="FFFFC000"/>
    <pageSetUpPr fitToPage="1"/>
  </sheetPr>
  <dimension ref="A1:ER65"/>
  <sheetViews>
    <sheetView workbookViewId="0">
      <pane xSplit="2" ySplit="14" topLeftCell="D15" activePane="bottomRight" state="frozen"/>
      <selection activeCell="A5" sqref="A5:B10"/>
      <selection pane="topRight" activeCell="A5" sqref="A5:B10"/>
      <selection pane="bottomLeft" activeCell="A5" sqref="A5:B10"/>
      <selection pane="bottomRight" activeCell="J15" sqref="J15"/>
    </sheetView>
  </sheetViews>
  <sheetFormatPr defaultColWidth="9.33203125" defaultRowHeight="12.75" outlineLevelRow="1" x14ac:dyDescent="0.2"/>
  <cols>
    <col min="1" max="1" width="30.33203125" style="2" customWidth="1"/>
    <col min="2" max="2" width="15.1640625" style="2" bestFit="1" customWidth="1"/>
    <col min="3" max="3" width="15.1640625" style="2" hidden="1" customWidth="1"/>
    <col min="4" max="4" width="15.1640625" style="2" customWidth="1"/>
    <col min="5" max="5" width="10.5" style="2" customWidth="1"/>
    <col min="6" max="6" width="10.83203125" style="2" customWidth="1"/>
    <col min="7" max="7" width="13" style="2" bestFit="1" customWidth="1"/>
    <col min="8" max="8" width="11" style="2" bestFit="1" customWidth="1"/>
    <col min="9" max="9" width="11" style="115" customWidth="1"/>
    <col min="10" max="10" width="12.83203125" style="2" customWidth="1"/>
    <col min="11" max="11" width="15" style="2" bestFit="1" customWidth="1"/>
    <col min="12" max="12" width="12.33203125" style="199" customWidth="1"/>
    <col min="13" max="13" width="11.5" style="199" customWidth="1"/>
    <col min="14" max="14" width="11.5" style="2" customWidth="1"/>
    <col min="15" max="15" width="10.83203125" style="31" customWidth="1"/>
    <col min="16" max="16" width="14.1640625" style="199" customWidth="1"/>
    <col min="17" max="17" width="11.5" style="2" customWidth="1"/>
    <col min="18" max="18" width="10" style="2" customWidth="1"/>
    <col min="19" max="19" width="11.1640625" style="2" customWidth="1"/>
    <col min="20" max="20" width="9.33203125" style="2"/>
    <col min="21" max="21" width="9.33203125" style="41" hidden="1" customWidth="1"/>
    <col min="22" max="22" width="9.33203125" style="41"/>
    <col min="23" max="23" width="27.6640625" style="41" bestFit="1" customWidth="1"/>
    <col min="24" max="24" width="12.1640625" style="41" customWidth="1"/>
    <col min="25" max="25" width="28.1640625" style="41" hidden="1" customWidth="1"/>
    <col min="26" max="148" width="9.33203125" style="41"/>
    <col min="149" max="16384" width="9.33203125" style="2"/>
  </cols>
  <sheetData>
    <row r="1" spans="1:148" x14ac:dyDescent="0.2">
      <c r="A1" s="2" t="s">
        <v>0</v>
      </c>
      <c r="B1" s="135" t="str">
        <f>IF(ISBLANK(Summary!B1)," ",Summary!B1)</f>
        <v>Cox</v>
      </c>
      <c r="C1" s="137"/>
      <c r="D1" s="137"/>
    </row>
    <row r="2" spans="1:148" x14ac:dyDescent="0.2">
      <c r="A2" s="2" t="s">
        <v>202</v>
      </c>
      <c r="B2" s="135" t="str">
        <f>IF(ISBLANK(Summary!B2)," ",Summary!B2)</f>
        <v>Com</v>
      </c>
      <c r="C2" s="137"/>
      <c r="D2" s="137"/>
    </row>
    <row r="3" spans="1:148" x14ac:dyDescent="0.2">
      <c r="A3" s="2" t="s">
        <v>157</v>
      </c>
      <c r="B3" s="135" t="str">
        <f>IF(ISBLANK(Summary!B3)," ",Summary!B3)</f>
        <v>ECR WITHOUT MEETING</v>
      </c>
      <c r="C3" s="137"/>
      <c r="D3" s="137"/>
      <c r="W3" s="42"/>
      <c r="Y3" s="41" t="s">
        <v>93</v>
      </c>
    </row>
    <row r="4" spans="1:148" x14ac:dyDescent="0.2">
      <c r="A4" s="2" t="s">
        <v>2</v>
      </c>
      <c r="B4" s="2" t="s">
        <v>19</v>
      </c>
      <c r="C4" s="126"/>
      <c r="D4" s="126"/>
      <c r="H4" s="126"/>
      <c r="I4" s="219"/>
      <c r="J4" s="126"/>
      <c r="K4" s="126"/>
      <c r="W4" s="42"/>
      <c r="Y4" s="41" t="s">
        <v>94</v>
      </c>
    </row>
    <row r="5" spans="1:148" x14ac:dyDescent="0.2">
      <c r="A5" s="2" t="s">
        <v>3</v>
      </c>
      <c r="B5" s="135" t="s">
        <v>201</v>
      </c>
      <c r="C5" s="138"/>
      <c r="D5" s="138"/>
      <c r="W5" s="42"/>
      <c r="Y5" s="41" t="s">
        <v>162</v>
      </c>
    </row>
    <row r="6" spans="1:148" x14ac:dyDescent="0.2">
      <c r="A6" s="2" t="s">
        <v>144</v>
      </c>
      <c r="B6" s="98" t="str">
        <f>IF(ISBLANK(Summary!B6),"ADD on SUMMARY tab",Summary!B6)</f>
        <v>NA</v>
      </c>
      <c r="C6" s="98"/>
      <c r="D6" s="98"/>
      <c r="H6" s="124" t="str">
        <f>IF(AND(P59&gt;0,P61=0),"Enter Total Price in N43"," ")</f>
        <v xml:space="preserve"> </v>
      </c>
      <c r="W6" s="42"/>
      <c r="Y6" s="41" t="s">
        <v>95</v>
      </c>
    </row>
    <row r="7" spans="1:148" x14ac:dyDescent="0.2">
      <c r="A7" s="2" t="s">
        <v>4</v>
      </c>
      <c r="B7" s="354">
        <v>43283</v>
      </c>
      <c r="C7" s="139"/>
      <c r="D7" s="139"/>
      <c r="E7" s="4" t="str">
        <f>IF(B7&gt;MIN(E15:E42),"Staffing Starts before this date!",IF(B7&lt;MIN(E15:E42),"No staffing on start date!",""))</f>
        <v>Staffing Starts before this date!</v>
      </c>
      <c r="F7"/>
      <c r="G7"/>
      <c r="H7"/>
      <c r="I7" s="116"/>
      <c r="J7"/>
      <c r="K7"/>
      <c r="L7" s="200"/>
      <c r="M7" s="200"/>
      <c r="N7"/>
      <c r="O7" s="49"/>
      <c r="P7" s="200"/>
      <c r="W7" s="42"/>
      <c r="Y7" s="41" t="s">
        <v>96</v>
      </c>
    </row>
    <row r="8" spans="1:148" x14ac:dyDescent="0.2">
      <c r="A8" s="2" t="s">
        <v>5</v>
      </c>
      <c r="B8" s="87">
        <f>MAX(F15:F31)</f>
        <v>0</v>
      </c>
      <c r="C8" s="139"/>
      <c r="D8" s="139"/>
      <c r="E8" s="4" t="str">
        <f>IF(B8&gt;MAX(F15:F42),"Staffing ends before project end date!",IF(B8&lt;MAX(F15:F42),"Staffing continues after end date!",""))</f>
        <v/>
      </c>
      <c r="F8"/>
      <c r="G8"/>
      <c r="H8"/>
      <c r="I8" s="116"/>
      <c r="J8"/>
      <c r="K8"/>
      <c r="L8" s="200"/>
      <c r="M8" s="200"/>
      <c r="N8"/>
      <c r="O8" s="49"/>
      <c r="P8" s="200"/>
      <c r="W8" s="42"/>
      <c r="Y8" s="41" t="s">
        <v>97</v>
      </c>
    </row>
    <row r="9" spans="1:148" x14ac:dyDescent="0.2">
      <c r="A9" s="2" t="s">
        <v>6</v>
      </c>
      <c r="B9" s="135" t="str">
        <f>IF(ISBLANK(Summary!B9)," ",Summary!B9)</f>
        <v>Quote</v>
      </c>
      <c r="C9" s="138"/>
      <c r="D9" s="138"/>
      <c r="F9" s="2" t="s">
        <v>153</v>
      </c>
      <c r="G9" s="88">
        <v>0.05</v>
      </c>
      <c r="W9" s="42"/>
      <c r="Y9" s="41" t="s">
        <v>145</v>
      </c>
    </row>
    <row r="10" spans="1:148" x14ac:dyDescent="0.2">
      <c r="A10" s="2" t="s">
        <v>79</v>
      </c>
      <c r="B10" s="125">
        <v>8</v>
      </c>
      <c r="C10" s="140"/>
      <c r="D10" s="140"/>
      <c r="F10" s="2" t="s">
        <v>152</v>
      </c>
      <c r="G10" s="88">
        <v>0.2</v>
      </c>
      <c r="W10" s="42"/>
      <c r="Y10" s="41" t="s">
        <v>163</v>
      </c>
    </row>
    <row r="11" spans="1:148" x14ac:dyDescent="0.2">
      <c r="A11" s="2" t="s">
        <v>70</v>
      </c>
      <c r="B11" s="150" t="str">
        <f>IF(ISBLANK(Summary!B14),"SELECT ONE",Summary!B14)</f>
        <v>USD</v>
      </c>
      <c r="Y11" s="41" t="s">
        <v>98</v>
      </c>
    </row>
    <row r="12" spans="1:148" x14ac:dyDescent="0.2">
      <c r="Y12" s="41" t="s">
        <v>99</v>
      </c>
    </row>
    <row r="13" spans="1:148" x14ac:dyDescent="0.2">
      <c r="A13" s="3"/>
      <c r="B13" s="3"/>
      <c r="C13" s="3"/>
      <c r="D13" s="3"/>
      <c r="E13" s="5"/>
      <c r="F13" s="5"/>
      <c r="G13" s="5"/>
      <c r="H13" s="6"/>
      <c r="I13" s="117"/>
      <c r="J13" s="6"/>
      <c r="K13" s="6"/>
      <c r="L13" s="201"/>
      <c r="M13" s="201"/>
      <c r="N13" s="6"/>
      <c r="O13" s="34" t="s">
        <v>80</v>
      </c>
      <c r="P13" s="201"/>
      <c r="Q13" s="6"/>
      <c r="R13" s="6"/>
      <c r="S13" s="6"/>
      <c r="Y13" s="41" t="s">
        <v>100</v>
      </c>
    </row>
    <row r="14" spans="1:148" s="3" customFormat="1" x14ac:dyDescent="0.2">
      <c r="A14" s="12" t="s">
        <v>52</v>
      </c>
      <c r="B14" s="12" t="s">
        <v>251</v>
      </c>
      <c r="C14" s="12" t="s">
        <v>91</v>
      </c>
      <c r="D14" s="12" t="s">
        <v>249</v>
      </c>
      <c r="E14" s="13" t="s">
        <v>54</v>
      </c>
      <c r="F14" s="13" t="s">
        <v>55</v>
      </c>
      <c r="G14" s="13" t="s">
        <v>7</v>
      </c>
      <c r="H14" s="13" t="s">
        <v>20</v>
      </c>
      <c r="I14" s="118" t="s">
        <v>78</v>
      </c>
      <c r="J14" s="35" t="s">
        <v>10</v>
      </c>
      <c r="K14" s="13" t="s">
        <v>56</v>
      </c>
      <c r="L14" s="202" t="s">
        <v>57</v>
      </c>
      <c r="M14" s="213" t="s">
        <v>31</v>
      </c>
      <c r="N14" s="13" t="s">
        <v>21</v>
      </c>
      <c r="O14" s="35" t="s">
        <v>22</v>
      </c>
      <c r="P14" s="213" t="s">
        <v>58</v>
      </c>
      <c r="Q14" s="13" t="s">
        <v>32</v>
      </c>
      <c r="R14" s="13" t="s">
        <v>23</v>
      </c>
      <c r="S14" s="13" t="s">
        <v>24</v>
      </c>
      <c r="U14" s="263"/>
      <c r="V14" s="263"/>
      <c r="W14" s="263"/>
      <c r="X14" s="263"/>
      <c r="Y14" s="41" t="s">
        <v>137</v>
      </c>
      <c r="Z14" s="263"/>
      <c r="AA14" s="263"/>
      <c r="AB14" s="263"/>
      <c r="AC14" s="263"/>
      <c r="AD14" s="263"/>
      <c r="AE14" s="263"/>
      <c r="AF14" s="263"/>
      <c r="AG14" s="263"/>
      <c r="AH14" s="263"/>
      <c r="AI14" s="263"/>
      <c r="AJ14" s="263"/>
      <c r="AK14" s="263"/>
      <c r="AL14" s="263"/>
      <c r="AM14" s="263"/>
      <c r="AN14" s="263"/>
      <c r="AO14" s="263"/>
      <c r="AP14" s="263"/>
      <c r="AQ14" s="263"/>
      <c r="AR14" s="263"/>
      <c r="AS14" s="263"/>
      <c r="AT14" s="263"/>
      <c r="AU14" s="263"/>
      <c r="AV14" s="263"/>
      <c r="AW14" s="263"/>
      <c r="AX14" s="263"/>
      <c r="AY14" s="263"/>
      <c r="AZ14" s="263"/>
      <c r="BA14" s="263"/>
      <c r="BB14" s="263"/>
      <c r="BC14" s="263"/>
      <c r="BD14" s="263"/>
      <c r="BE14" s="263"/>
      <c r="BF14" s="263"/>
      <c r="BG14" s="263"/>
      <c r="BH14" s="263"/>
      <c r="BI14" s="263"/>
      <c r="BJ14" s="263"/>
      <c r="BK14" s="263"/>
      <c r="BL14" s="263"/>
      <c r="BM14" s="263"/>
      <c r="BN14" s="263"/>
      <c r="BO14" s="263"/>
      <c r="BP14" s="263"/>
      <c r="BQ14" s="263"/>
      <c r="BR14" s="263"/>
      <c r="BS14" s="263"/>
      <c r="BT14" s="263"/>
      <c r="BU14" s="263"/>
      <c r="BV14" s="263"/>
      <c r="BW14" s="263"/>
      <c r="BX14" s="263"/>
      <c r="BY14" s="263"/>
      <c r="BZ14" s="263"/>
      <c r="CA14" s="263"/>
      <c r="CB14" s="263"/>
      <c r="CC14" s="263"/>
      <c r="CD14" s="263"/>
      <c r="CE14" s="263"/>
      <c r="CF14" s="263"/>
      <c r="CG14" s="263"/>
      <c r="CH14" s="263"/>
      <c r="CI14" s="263"/>
      <c r="CJ14" s="263"/>
      <c r="CK14" s="263"/>
      <c r="CL14" s="263"/>
      <c r="CM14" s="263"/>
      <c r="CN14" s="263"/>
      <c r="CO14" s="263"/>
      <c r="CP14" s="263"/>
      <c r="CQ14" s="263"/>
      <c r="CR14" s="263"/>
      <c r="CS14" s="263"/>
      <c r="CT14" s="263"/>
      <c r="CU14" s="263"/>
      <c r="CV14" s="263"/>
      <c r="CW14" s="263"/>
      <c r="CX14" s="263"/>
      <c r="CY14" s="263"/>
      <c r="CZ14" s="263"/>
      <c r="DA14" s="263"/>
      <c r="DB14" s="263"/>
      <c r="DC14" s="263"/>
      <c r="DD14" s="263"/>
      <c r="DE14" s="263"/>
      <c r="DF14" s="263"/>
      <c r="DG14" s="263"/>
      <c r="DH14" s="263"/>
      <c r="DI14" s="263"/>
      <c r="DJ14" s="263"/>
      <c r="DK14" s="263"/>
      <c r="DL14" s="263"/>
      <c r="DM14" s="263"/>
      <c r="DN14" s="263"/>
      <c r="DO14" s="263"/>
      <c r="DP14" s="263"/>
      <c r="DQ14" s="263"/>
      <c r="DR14" s="263"/>
      <c r="DS14" s="263"/>
      <c r="DT14" s="263"/>
      <c r="DU14" s="263"/>
      <c r="DV14" s="263"/>
      <c r="DW14" s="263"/>
      <c r="DX14" s="263"/>
      <c r="DY14" s="263"/>
      <c r="DZ14" s="263"/>
      <c r="EA14" s="263"/>
      <c r="EB14" s="263"/>
      <c r="EC14" s="263"/>
      <c r="ED14" s="263"/>
      <c r="EE14" s="263"/>
      <c r="EF14" s="263"/>
      <c r="EG14" s="263"/>
      <c r="EH14" s="263"/>
      <c r="EI14" s="263"/>
      <c r="EJ14" s="263"/>
      <c r="EK14" s="263"/>
      <c r="EL14" s="263"/>
      <c r="EM14" s="263"/>
      <c r="EN14" s="263"/>
      <c r="EO14" s="263"/>
      <c r="EP14" s="263"/>
      <c r="EQ14" s="263"/>
      <c r="ER14" s="263"/>
    </row>
    <row r="15" spans="1:148" outlineLevel="1" x14ac:dyDescent="0.2">
      <c r="A15" s="156" t="s">
        <v>205</v>
      </c>
      <c r="B15" s="156"/>
      <c r="C15" s="86"/>
      <c r="D15" s="373"/>
      <c r="E15" s="157"/>
      <c r="F15" s="157"/>
      <c r="G15" s="158">
        <v>0.1</v>
      </c>
      <c r="H15" s="159">
        <f t="shared" ref="H15:H31" si="0">IF(ISBLANK(A15),"",NETWORKDAYS(E15,F15)*G15)</f>
        <v>0</v>
      </c>
      <c r="I15" s="160">
        <f t="shared" ref="I15:I31" si="1">IF(ISBLANK(A15),"",H15*$B$10)</f>
        <v>0</v>
      </c>
      <c r="J15" s="172">
        <f>IF(ISBLANK(A15),"",VLOOKUP(A15,gsrates!$A$3:$AQ$39,VLOOKUP($B$6,gsrates!$A$42:$C$62,2,FALSE),FALSE))</f>
        <v>355</v>
      </c>
      <c r="K15" s="79">
        <f t="shared" ref="K15:K31" si="2">IF(ISBLANK(A15),"",I15*J15)</f>
        <v>0</v>
      </c>
      <c r="L15" s="203">
        <f>IF(ISBLANK(A15),"",VLOOKUP(A15,gsrates!$A$3:$AQ$39,VLOOKUP($B$6,gsrates!$A$42:$C$62,3,FALSE),FALSE))</f>
        <v>180</v>
      </c>
      <c r="M15" s="203">
        <f t="shared" ref="M15:M31" si="3">IF(ISBLANK(A15),"",L15*H15*8)</f>
        <v>0</v>
      </c>
      <c r="N15" s="79">
        <f t="shared" ref="N15:N31" si="4">IF(ISBLANK(A15),"",K15-M15)</f>
        <v>0</v>
      </c>
      <c r="O15" s="173"/>
      <c r="P15" s="203">
        <f t="shared" ref="P15:P31" si="5">IF(ISBLANK(A15),"",H15*O15*$B$10)</f>
        <v>0</v>
      </c>
      <c r="Q15" s="79">
        <f t="shared" ref="Q15:Q31" si="6">IF(ISBLANK(A15),"",P15-M15)</f>
        <v>0</v>
      </c>
      <c r="R15" s="151" t="e">
        <f t="shared" ref="R15:R31" si="7">IF(ISBLANK(A15),"",Q15/P15)</f>
        <v>#DIV/0!</v>
      </c>
      <c r="S15" s="162" t="e">
        <f t="shared" ref="S15:S31" si="8">IF(ISBLANK(A15),"",1-P15/K15)</f>
        <v>#DIV/0!</v>
      </c>
      <c r="T15" s="41"/>
      <c r="U15" s="41" t="str">
        <f t="shared" ref="U15:U31" si="9">IF(ISBLANK(A15),"",CONCATENATE(C15,"-",$B$6))</f>
        <v>-NA</v>
      </c>
      <c r="Y15" s="41" t="s">
        <v>155</v>
      </c>
    </row>
    <row r="16" spans="1:148" outlineLevel="1" x14ac:dyDescent="0.2">
      <c r="A16" s="156"/>
      <c r="B16" s="156"/>
      <c r="C16" s="86"/>
      <c r="D16" s="373"/>
      <c r="E16" s="157"/>
      <c r="F16" s="157"/>
      <c r="G16" s="158"/>
      <c r="H16" s="159" t="str">
        <f t="shared" si="0"/>
        <v/>
      </c>
      <c r="I16" s="160" t="str">
        <f t="shared" si="1"/>
        <v/>
      </c>
      <c r="J16" s="172" t="str">
        <f>IF(ISBLANK(A16),"",VLOOKUP(A16,gsrates!$A$3:$AQ$39,VLOOKUP($B$6,gsrates!$A$42:$C$62,2,FALSE),FALSE))</f>
        <v/>
      </c>
      <c r="K16" s="79" t="str">
        <f t="shared" si="2"/>
        <v/>
      </c>
      <c r="L16" s="203" t="str">
        <f>IF(ISBLANK(A16),"",VLOOKUP(A16,gsrates!$A$3:$AQ$39,VLOOKUP($B$6,gsrates!$A$42:$C$62,3,FALSE),FALSE))</f>
        <v/>
      </c>
      <c r="M16" s="203" t="str">
        <f t="shared" si="3"/>
        <v/>
      </c>
      <c r="N16" s="79" t="str">
        <f t="shared" si="4"/>
        <v/>
      </c>
      <c r="O16" s="173"/>
      <c r="P16" s="203" t="str">
        <f t="shared" si="5"/>
        <v/>
      </c>
      <c r="Q16" s="79" t="str">
        <f t="shared" si="6"/>
        <v/>
      </c>
      <c r="R16" s="151" t="str">
        <f t="shared" si="7"/>
        <v/>
      </c>
      <c r="S16" s="162" t="str">
        <f t="shared" si="8"/>
        <v/>
      </c>
      <c r="T16" s="41"/>
      <c r="U16" s="41" t="str">
        <f t="shared" si="9"/>
        <v/>
      </c>
    </row>
    <row r="17" spans="1:148" outlineLevel="1" x14ac:dyDescent="0.2">
      <c r="A17" s="156"/>
      <c r="B17" s="156"/>
      <c r="C17" s="86"/>
      <c r="D17" s="373"/>
      <c r="E17" s="157"/>
      <c r="F17" s="157"/>
      <c r="G17" s="158"/>
      <c r="H17" s="159" t="str">
        <f t="shared" si="0"/>
        <v/>
      </c>
      <c r="I17" s="160" t="str">
        <f t="shared" si="1"/>
        <v/>
      </c>
      <c r="J17" s="172" t="str">
        <f>IF(ISBLANK(A17),"",VLOOKUP(A17,gsrates!$A$3:$AQ$39,VLOOKUP($B$6,gsrates!$A$42:$C$62,2,FALSE),FALSE))</f>
        <v/>
      </c>
      <c r="K17" s="79" t="str">
        <f t="shared" si="2"/>
        <v/>
      </c>
      <c r="L17" s="203" t="str">
        <f>IF(ISBLANK(A17),"",VLOOKUP(A17,gsrates!$A$3:$AQ$39,VLOOKUP($B$6,gsrates!$A$42:$C$62,3,FALSE),FALSE))</f>
        <v/>
      </c>
      <c r="M17" s="203" t="str">
        <f t="shared" si="3"/>
        <v/>
      </c>
      <c r="N17" s="79" t="str">
        <f t="shared" si="4"/>
        <v/>
      </c>
      <c r="O17" s="173">
        <v>0</v>
      </c>
      <c r="P17" s="203" t="str">
        <f t="shared" si="5"/>
        <v/>
      </c>
      <c r="Q17" s="79" t="str">
        <f t="shared" si="6"/>
        <v/>
      </c>
      <c r="R17" s="151" t="str">
        <f t="shared" si="7"/>
        <v/>
      </c>
      <c r="S17" s="162" t="str">
        <f t="shared" si="8"/>
        <v/>
      </c>
      <c r="T17" s="41"/>
    </row>
    <row r="18" spans="1:148" outlineLevel="1" x14ac:dyDescent="0.2">
      <c r="A18" s="156"/>
      <c r="B18" s="156"/>
      <c r="C18" s="86"/>
      <c r="D18" s="373"/>
      <c r="E18" s="157"/>
      <c r="F18" s="157"/>
      <c r="G18" s="158"/>
      <c r="H18" s="159" t="str">
        <f t="shared" si="0"/>
        <v/>
      </c>
      <c r="I18" s="160" t="str">
        <f t="shared" si="1"/>
        <v/>
      </c>
      <c r="J18" s="172" t="str">
        <f>IF(ISBLANK(A18),"",VLOOKUP(A18,gsrates!$A$3:$AQ$39,VLOOKUP($B$6,gsrates!$A$42:$C$62,2,FALSE),FALSE))</f>
        <v/>
      </c>
      <c r="K18" s="79" t="str">
        <f t="shared" si="2"/>
        <v/>
      </c>
      <c r="L18" s="203" t="str">
        <f>IF(ISBLANK(A18),"",VLOOKUP(A18,gsrates!$A$3:$AQ$39,VLOOKUP($B$6,gsrates!$A$42:$C$62,3,FALSE),FALSE))</f>
        <v/>
      </c>
      <c r="M18" s="203" t="str">
        <f t="shared" si="3"/>
        <v/>
      </c>
      <c r="N18" s="79" t="str">
        <f t="shared" si="4"/>
        <v/>
      </c>
      <c r="O18" s="173">
        <v>0</v>
      </c>
      <c r="P18" s="203" t="str">
        <f t="shared" si="5"/>
        <v/>
      </c>
      <c r="Q18" s="79" t="str">
        <f t="shared" si="6"/>
        <v/>
      </c>
      <c r="R18" s="151" t="str">
        <f t="shared" si="7"/>
        <v/>
      </c>
      <c r="S18" s="162" t="str">
        <f t="shared" si="8"/>
        <v/>
      </c>
      <c r="T18" s="41"/>
    </row>
    <row r="19" spans="1:148" outlineLevel="1" x14ac:dyDescent="0.2">
      <c r="A19" s="156"/>
      <c r="B19" s="156"/>
      <c r="C19" s="86"/>
      <c r="D19" s="373"/>
      <c r="E19" s="157"/>
      <c r="F19" s="157"/>
      <c r="G19" s="158"/>
      <c r="H19" s="159" t="str">
        <f t="shared" si="0"/>
        <v/>
      </c>
      <c r="I19" s="160" t="str">
        <f t="shared" si="1"/>
        <v/>
      </c>
      <c r="J19" s="172" t="str">
        <f>IF(ISBLANK(A19),"",VLOOKUP(A19,gsrates!$A$3:$AQ$39,VLOOKUP($B$6,gsrates!$A$42:$C$62,2,FALSE),FALSE))</f>
        <v/>
      </c>
      <c r="K19" s="79" t="str">
        <f t="shared" si="2"/>
        <v/>
      </c>
      <c r="L19" s="203" t="str">
        <f>IF(ISBLANK(A19),"",VLOOKUP(A19,gsrates!$A$3:$AQ$39,VLOOKUP($B$6,gsrates!$A$42:$C$62,3,FALSE),FALSE))</f>
        <v/>
      </c>
      <c r="M19" s="203" t="str">
        <f t="shared" si="3"/>
        <v/>
      </c>
      <c r="N19" s="79" t="str">
        <f t="shared" si="4"/>
        <v/>
      </c>
      <c r="O19" s="173">
        <v>0</v>
      </c>
      <c r="P19" s="203" t="str">
        <f t="shared" si="5"/>
        <v/>
      </c>
      <c r="Q19" s="79" t="str">
        <f t="shared" si="6"/>
        <v/>
      </c>
      <c r="R19" s="151" t="str">
        <f t="shared" si="7"/>
        <v/>
      </c>
      <c r="S19" s="162" t="str">
        <f t="shared" si="8"/>
        <v/>
      </c>
      <c r="T19" s="41"/>
    </row>
    <row r="20" spans="1:148" outlineLevel="1" x14ac:dyDescent="0.2">
      <c r="A20" s="156"/>
      <c r="B20" s="156"/>
      <c r="C20" s="86"/>
      <c r="D20" s="373"/>
      <c r="E20" s="157"/>
      <c r="F20" s="157"/>
      <c r="G20" s="158"/>
      <c r="H20" s="159" t="str">
        <f t="shared" si="0"/>
        <v/>
      </c>
      <c r="I20" s="160" t="str">
        <f t="shared" si="1"/>
        <v/>
      </c>
      <c r="J20" s="172" t="str">
        <f>IF(ISBLANK(A20),"",VLOOKUP(A20,gsrates!$A$3:$AQ$39,VLOOKUP($B$6,gsrates!$A$42:$C$62,2,FALSE),FALSE))</f>
        <v/>
      </c>
      <c r="K20" s="79" t="str">
        <f t="shared" si="2"/>
        <v/>
      </c>
      <c r="L20" s="203" t="str">
        <f>IF(ISBLANK(A20),"",VLOOKUP(A20,gsrates!$A$3:$AQ$39,VLOOKUP($B$6,gsrates!$A$42:$C$62,3,FALSE),FALSE))</f>
        <v/>
      </c>
      <c r="M20" s="203" t="str">
        <f t="shared" si="3"/>
        <v/>
      </c>
      <c r="N20" s="79" t="str">
        <f t="shared" si="4"/>
        <v/>
      </c>
      <c r="O20" s="173">
        <v>0</v>
      </c>
      <c r="P20" s="203" t="str">
        <f t="shared" si="5"/>
        <v/>
      </c>
      <c r="Q20" s="79" t="str">
        <f t="shared" si="6"/>
        <v/>
      </c>
      <c r="R20" s="151" t="str">
        <f t="shared" si="7"/>
        <v/>
      </c>
      <c r="S20" s="162" t="str">
        <f t="shared" si="8"/>
        <v/>
      </c>
      <c r="T20" s="41"/>
    </row>
    <row r="21" spans="1:148" outlineLevel="1" x14ac:dyDescent="0.2">
      <c r="A21" s="156"/>
      <c r="B21" s="156"/>
      <c r="C21" s="86"/>
      <c r="D21" s="373"/>
      <c r="E21" s="157"/>
      <c r="F21" s="157"/>
      <c r="G21" s="158"/>
      <c r="H21" s="159" t="str">
        <f t="shared" si="0"/>
        <v/>
      </c>
      <c r="I21" s="160" t="str">
        <f t="shared" si="1"/>
        <v/>
      </c>
      <c r="J21" s="172" t="str">
        <f>IF(ISBLANK(A21),"",VLOOKUP(A21,gsrates!$A$3:$AQ$39,VLOOKUP($B$6,gsrates!$A$42:$C$62,2,FALSE),FALSE))</f>
        <v/>
      </c>
      <c r="K21" s="79" t="str">
        <f t="shared" si="2"/>
        <v/>
      </c>
      <c r="L21" s="203" t="str">
        <f>IF(ISBLANK(A21),"",VLOOKUP(A21,gsrates!$A$3:$AQ$39,VLOOKUP($B$6,gsrates!$A$42:$C$62,3,FALSE),FALSE))</f>
        <v/>
      </c>
      <c r="M21" s="203" t="str">
        <f t="shared" si="3"/>
        <v/>
      </c>
      <c r="N21" s="79" t="str">
        <f t="shared" si="4"/>
        <v/>
      </c>
      <c r="O21" s="173">
        <v>0</v>
      </c>
      <c r="P21" s="203" t="str">
        <f t="shared" si="5"/>
        <v/>
      </c>
      <c r="Q21" s="79" t="str">
        <f t="shared" si="6"/>
        <v/>
      </c>
      <c r="R21" s="151" t="str">
        <f t="shared" si="7"/>
        <v/>
      </c>
      <c r="S21" s="162" t="str">
        <f t="shared" si="8"/>
        <v/>
      </c>
      <c r="T21" s="41"/>
    </row>
    <row r="22" spans="1:148" outlineLevel="1" x14ac:dyDescent="0.2">
      <c r="A22" s="156"/>
      <c r="B22" s="156"/>
      <c r="C22" s="86"/>
      <c r="D22" s="373"/>
      <c r="E22" s="157"/>
      <c r="F22" s="157"/>
      <c r="G22" s="158"/>
      <c r="H22" s="159" t="str">
        <f t="shared" si="0"/>
        <v/>
      </c>
      <c r="I22" s="160" t="str">
        <f t="shared" si="1"/>
        <v/>
      </c>
      <c r="J22" s="172" t="str">
        <f>IF(ISBLANK(A22),"",VLOOKUP(A22,gsrates!$A$3:$AQ$39,VLOOKUP($B$6,gsrates!$A$42:$C$62,2,FALSE),FALSE))</f>
        <v/>
      </c>
      <c r="K22" s="79" t="str">
        <f t="shared" si="2"/>
        <v/>
      </c>
      <c r="L22" s="203" t="str">
        <f>IF(ISBLANK(A22),"",VLOOKUP(A22,gsrates!$A$3:$AQ$39,VLOOKUP($B$6,gsrates!$A$42:$C$62,3,FALSE),FALSE))</f>
        <v/>
      </c>
      <c r="M22" s="203" t="str">
        <f t="shared" si="3"/>
        <v/>
      </c>
      <c r="N22" s="79" t="str">
        <f t="shared" si="4"/>
        <v/>
      </c>
      <c r="O22" s="173">
        <v>0</v>
      </c>
      <c r="P22" s="203" t="str">
        <f t="shared" si="5"/>
        <v/>
      </c>
      <c r="Q22" s="79" t="str">
        <f t="shared" si="6"/>
        <v/>
      </c>
      <c r="R22" s="151" t="str">
        <f t="shared" si="7"/>
        <v/>
      </c>
      <c r="S22" s="162" t="str">
        <f t="shared" si="8"/>
        <v/>
      </c>
      <c r="T22" s="41"/>
    </row>
    <row r="23" spans="1:148" outlineLevel="1" x14ac:dyDescent="0.2">
      <c r="A23" s="156"/>
      <c r="B23" s="156"/>
      <c r="C23" s="86"/>
      <c r="D23" s="373"/>
      <c r="E23" s="157"/>
      <c r="F23" s="157"/>
      <c r="G23" s="158"/>
      <c r="H23" s="159" t="str">
        <f t="shared" si="0"/>
        <v/>
      </c>
      <c r="I23" s="160" t="str">
        <f t="shared" si="1"/>
        <v/>
      </c>
      <c r="J23" s="172" t="str">
        <f>IF(ISBLANK(A23),"",VLOOKUP(A23,gsrates!$A$3:$AQ$39,VLOOKUP($B$6,gsrates!$A$42:$C$62,2,FALSE),FALSE))</f>
        <v/>
      </c>
      <c r="K23" s="79" t="str">
        <f t="shared" si="2"/>
        <v/>
      </c>
      <c r="L23" s="203" t="str">
        <f>IF(ISBLANK(A23),"",VLOOKUP(A23,gsrates!$A$3:$AQ$39,VLOOKUP($B$6,gsrates!$A$42:$C$62,3,FALSE),FALSE))</f>
        <v/>
      </c>
      <c r="M23" s="203" t="str">
        <f t="shared" si="3"/>
        <v/>
      </c>
      <c r="N23" s="79" t="str">
        <f t="shared" si="4"/>
        <v/>
      </c>
      <c r="O23" s="173">
        <v>0</v>
      </c>
      <c r="P23" s="203" t="str">
        <f t="shared" si="5"/>
        <v/>
      </c>
      <c r="Q23" s="79" t="str">
        <f t="shared" si="6"/>
        <v/>
      </c>
      <c r="R23" s="151" t="str">
        <f t="shared" si="7"/>
        <v/>
      </c>
      <c r="S23" s="162" t="str">
        <f t="shared" si="8"/>
        <v/>
      </c>
      <c r="T23" s="41"/>
    </row>
    <row r="24" spans="1:148" outlineLevel="1" x14ac:dyDescent="0.2">
      <c r="A24" s="156"/>
      <c r="B24" s="156"/>
      <c r="C24" s="86"/>
      <c r="D24" s="373"/>
      <c r="E24" s="157"/>
      <c r="F24" s="157"/>
      <c r="G24" s="158"/>
      <c r="H24" s="159" t="str">
        <f t="shared" si="0"/>
        <v/>
      </c>
      <c r="I24" s="160" t="str">
        <f t="shared" si="1"/>
        <v/>
      </c>
      <c r="J24" s="172" t="str">
        <f>IF(ISBLANK(A24),"",VLOOKUP(A24,gsrates!$A$3:$AQ$39,VLOOKUP($B$6,gsrates!$A$42:$C$62,2,FALSE),FALSE))</f>
        <v/>
      </c>
      <c r="K24" s="79" t="str">
        <f t="shared" si="2"/>
        <v/>
      </c>
      <c r="L24" s="203" t="str">
        <f>IF(ISBLANK(A24),"",VLOOKUP(A24,gsrates!$A$3:$AQ$39,VLOOKUP($B$6,gsrates!$A$42:$C$62,3,FALSE),FALSE))</f>
        <v/>
      </c>
      <c r="M24" s="203" t="str">
        <f t="shared" si="3"/>
        <v/>
      </c>
      <c r="N24" s="79" t="str">
        <f t="shared" si="4"/>
        <v/>
      </c>
      <c r="O24" s="173">
        <v>0</v>
      </c>
      <c r="P24" s="203" t="str">
        <f t="shared" si="5"/>
        <v/>
      </c>
      <c r="Q24" s="79" t="str">
        <f t="shared" si="6"/>
        <v/>
      </c>
      <c r="R24" s="151" t="str">
        <f t="shared" si="7"/>
        <v/>
      </c>
      <c r="S24" s="162" t="str">
        <f t="shared" si="8"/>
        <v/>
      </c>
      <c r="T24" s="41"/>
      <c r="U24" s="41" t="str">
        <f t="shared" si="9"/>
        <v/>
      </c>
    </row>
    <row r="25" spans="1:148" outlineLevel="1" x14ac:dyDescent="0.2">
      <c r="A25" s="156"/>
      <c r="B25" s="156"/>
      <c r="C25" s="86"/>
      <c r="D25" s="373"/>
      <c r="E25" s="157"/>
      <c r="F25" s="157"/>
      <c r="G25" s="158"/>
      <c r="H25" s="159" t="str">
        <f t="shared" si="0"/>
        <v/>
      </c>
      <c r="I25" s="160" t="str">
        <f t="shared" si="1"/>
        <v/>
      </c>
      <c r="J25" s="172" t="str">
        <f>IF(ISBLANK(A25),"",VLOOKUP(A25,gsrates!$A$3:$AQ$39,VLOOKUP($B$6,gsrates!$A$42:$C$62,2,FALSE),FALSE))</f>
        <v/>
      </c>
      <c r="K25" s="79" t="str">
        <f t="shared" si="2"/>
        <v/>
      </c>
      <c r="L25" s="203" t="str">
        <f>IF(ISBLANK(A25),"",VLOOKUP(A25,gsrates!$A$3:$AQ$39,VLOOKUP($B$6,gsrates!$A$42:$C$62,3,FALSE),FALSE))</f>
        <v/>
      </c>
      <c r="M25" s="203" t="str">
        <f t="shared" si="3"/>
        <v/>
      </c>
      <c r="N25" s="79" t="str">
        <f t="shared" si="4"/>
        <v/>
      </c>
      <c r="O25" s="173">
        <v>0</v>
      </c>
      <c r="P25" s="203" t="str">
        <f t="shared" si="5"/>
        <v/>
      </c>
      <c r="Q25" s="79" t="str">
        <f t="shared" si="6"/>
        <v/>
      </c>
      <c r="R25" s="151" t="str">
        <f t="shared" si="7"/>
        <v/>
      </c>
      <c r="S25" s="162" t="str">
        <f t="shared" si="8"/>
        <v/>
      </c>
      <c r="T25" s="41"/>
      <c r="U25" s="41" t="str">
        <f t="shared" si="9"/>
        <v/>
      </c>
    </row>
    <row r="26" spans="1:148" outlineLevel="1" x14ac:dyDescent="0.2">
      <c r="A26" s="156"/>
      <c r="B26" s="156"/>
      <c r="C26" s="86"/>
      <c r="D26" s="373"/>
      <c r="E26" s="157"/>
      <c r="F26" s="157"/>
      <c r="G26" s="158"/>
      <c r="H26" s="159" t="str">
        <f t="shared" si="0"/>
        <v/>
      </c>
      <c r="I26" s="160" t="str">
        <f t="shared" si="1"/>
        <v/>
      </c>
      <c r="J26" s="172" t="str">
        <f>IF(ISBLANK(A26),"",VLOOKUP(A26,gsrates!$A$3:$AQ$39,VLOOKUP($B$6,gsrates!$A$42:$C$62,2,FALSE),FALSE))</f>
        <v/>
      </c>
      <c r="K26" s="79" t="str">
        <f t="shared" si="2"/>
        <v/>
      </c>
      <c r="L26" s="203" t="str">
        <f>IF(ISBLANK(A26),"",VLOOKUP(A26,gsrates!$A$3:$AQ$39,VLOOKUP($B$6,gsrates!$A$42:$C$62,3,FALSE),FALSE))</f>
        <v/>
      </c>
      <c r="M26" s="203" t="str">
        <f t="shared" si="3"/>
        <v/>
      </c>
      <c r="N26" s="79" t="str">
        <f t="shared" si="4"/>
        <v/>
      </c>
      <c r="O26" s="173">
        <v>0</v>
      </c>
      <c r="P26" s="203" t="str">
        <f t="shared" si="5"/>
        <v/>
      </c>
      <c r="Q26" s="79" t="str">
        <f t="shared" si="6"/>
        <v/>
      </c>
      <c r="R26" s="151" t="str">
        <f t="shared" si="7"/>
        <v/>
      </c>
      <c r="S26" s="162" t="str">
        <f t="shared" si="8"/>
        <v/>
      </c>
      <c r="T26" s="41"/>
      <c r="U26" s="41" t="str">
        <f t="shared" si="9"/>
        <v/>
      </c>
    </row>
    <row r="27" spans="1:148" outlineLevel="1" x14ac:dyDescent="0.2">
      <c r="A27" s="156"/>
      <c r="B27" s="156"/>
      <c r="C27" s="86"/>
      <c r="D27" s="373"/>
      <c r="E27" s="157"/>
      <c r="F27" s="157"/>
      <c r="G27" s="158"/>
      <c r="H27" s="159" t="str">
        <f t="shared" si="0"/>
        <v/>
      </c>
      <c r="I27" s="160" t="str">
        <f t="shared" si="1"/>
        <v/>
      </c>
      <c r="J27" s="172" t="str">
        <f>IF(ISBLANK(A27),"",VLOOKUP(A27,gsrates!$A$3:$AQ$39,VLOOKUP($B$6,gsrates!$A$42:$C$62,2,FALSE),FALSE))</f>
        <v/>
      </c>
      <c r="K27" s="79" t="str">
        <f t="shared" si="2"/>
        <v/>
      </c>
      <c r="L27" s="203" t="str">
        <f>IF(ISBLANK(A27),"",VLOOKUP(A27,gsrates!$A$3:$AQ$39,VLOOKUP($B$6,gsrates!$A$42:$C$62,3,FALSE),FALSE))</f>
        <v/>
      </c>
      <c r="M27" s="203" t="str">
        <f t="shared" si="3"/>
        <v/>
      </c>
      <c r="N27" s="79" t="str">
        <f t="shared" si="4"/>
        <v/>
      </c>
      <c r="O27" s="173">
        <v>0</v>
      </c>
      <c r="P27" s="203" t="str">
        <f t="shared" si="5"/>
        <v/>
      </c>
      <c r="Q27" s="79" t="str">
        <f t="shared" si="6"/>
        <v/>
      </c>
      <c r="R27" s="151" t="str">
        <f t="shared" si="7"/>
        <v/>
      </c>
      <c r="S27" s="162" t="str">
        <f t="shared" si="8"/>
        <v/>
      </c>
      <c r="T27" s="41"/>
      <c r="U27" s="41" t="str">
        <f t="shared" si="9"/>
        <v/>
      </c>
    </row>
    <row r="28" spans="1:148" outlineLevel="1" x14ac:dyDescent="0.2">
      <c r="A28" s="156"/>
      <c r="B28" s="156"/>
      <c r="C28" s="86"/>
      <c r="D28" s="373"/>
      <c r="E28" s="157"/>
      <c r="F28" s="157"/>
      <c r="G28" s="158"/>
      <c r="H28" s="159" t="str">
        <f t="shared" si="0"/>
        <v/>
      </c>
      <c r="I28" s="160" t="str">
        <f t="shared" si="1"/>
        <v/>
      </c>
      <c r="J28" s="172" t="str">
        <f>IF(ISBLANK(A28),"",VLOOKUP(A28,gsrates!$A$3:$AQ$39,VLOOKUP($B$6,gsrates!$A$42:$C$62,2,FALSE),FALSE))</f>
        <v/>
      </c>
      <c r="K28" s="79" t="str">
        <f t="shared" si="2"/>
        <v/>
      </c>
      <c r="L28" s="203" t="str">
        <f>IF(ISBLANK(A28),"",VLOOKUP(A28,gsrates!$A$3:$AQ$39,VLOOKUP($B$6,gsrates!$A$42:$C$62,3,FALSE),FALSE))</f>
        <v/>
      </c>
      <c r="M28" s="203" t="str">
        <f t="shared" si="3"/>
        <v/>
      </c>
      <c r="N28" s="79" t="str">
        <f t="shared" si="4"/>
        <v/>
      </c>
      <c r="O28" s="173">
        <v>0</v>
      </c>
      <c r="P28" s="203" t="str">
        <f t="shared" si="5"/>
        <v/>
      </c>
      <c r="Q28" s="79" t="str">
        <f t="shared" si="6"/>
        <v/>
      </c>
      <c r="R28" s="151" t="str">
        <f t="shared" si="7"/>
        <v/>
      </c>
      <c r="S28" s="162" t="str">
        <f t="shared" si="8"/>
        <v/>
      </c>
      <c r="T28" s="41"/>
      <c r="U28" s="41" t="str">
        <f t="shared" si="9"/>
        <v/>
      </c>
    </row>
    <row r="29" spans="1:148" outlineLevel="1" x14ac:dyDescent="0.2">
      <c r="A29" s="156"/>
      <c r="B29" s="156"/>
      <c r="C29" s="86"/>
      <c r="D29" s="373"/>
      <c r="E29" s="157"/>
      <c r="F29" s="157"/>
      <c r="G29" s="158"/>
      <c r="H29" s="159" t="str">
        <f t="shared" si="0"/>
        <v/>
      </c>
      <c r="I29" s="160" t="str">
        <f t="shared" si="1"/>
        <v/>
      </c>
      <c r="J29" s="172" t="str">
        <f>IF(ISBLANK(A29),"",VLOOKUP(A29,gsrates!$A$3:$AQ$39,VLOOKUP($B$6,gsrates!$A$42:$C$62,2,FALSE),FALSE))</f>
        <v/>
      </c>
      <c r="K29" s="79" t="str">
        <f t="shared" si="2"/>
        <v/>
      </c>
      <c r="L29" s="203" t="str">
        <f>IF(ISBLANK(A29),"",VLOOKUP(A29,gsrates!$A$3:$AQ$39,VLOOKUP($B$6,gsrates!$A$42:$C$62,3,FALSE),FALSE))</f>
        <v/>
      </c>
      <c r="M29" s="203" t="str">
        <f t="shared" si="3"/>
        <v/>
      </c>
      <c r="N29" s="79" t="str">
        <f t="shared" si="4"/>
        <v/>
      </c>
      <c r="O29" s="173">
        <v>0</v>
      </c>
      <c r="P29" s="203" t="str">
        <f t="shared" si="5"/>
        <v/>
      </c>
      <c r="Q29" s="79" t="str">
        <f t="shared" si="6"/>
        <v/>
      </c>
      <c r="R29" s="151" t="str">
        <f t="shared" si="7"/>
        <v/>
      </c>
      <c r="S29" s="162" t="str">
        <f t="shared" si="8"/>
        <v/>
      </c>
      <c r="T29" s="41"/>
      <c r="U29" s="41" t="str">
        <f t="shared" si="9"/>
        <v/>
      </c>
    </row>
    <row r="30" spans="1:148" outlineLevel="1" x14ac:dyDescent="0.2">
      <c r="A30" s="156"/>
      <c r="B30" s="156"/>
      <c r="C30" s="86"/>
      <c r="D30" s="373"/>
      <c r="E30" s="157"/>
      <c r="F30" s="157"/>
      <c r="G30" s="158"/>
      <c r="H30" s="159" t="str">
        <f t="shared" si="0"/>
        <v/>
      </c>
      <c r="I30" s="160" t="str">
        <f t="shared" si="1"/>
        <v/>
      </c>
      <c r="J30" s="172" t="str">
        <f>IF(ISBLANK(A30),"",VLOOKUP(A30,gsrates!$A$3:$AQ$39,VLOOKUP($B$6,gsrates!$A$42:$C$62,2,FALSE),FALSE))</f>
        <v/>
      </c>
      <c r="K30" s="79" t="str">
        <f t="shared" si="2"/>
        <v/>
      </c>
      <c r="L30" s="203" t="str">
        <f>IF(ISBLANK(A30),"",VLOOKUP(A30,gsrates!$A$3:$AQ$39,VLOOKUP($B$6,gsrates!$A$42:$C$62,3,FALSE),FALSE))</f>
        <v/>
      </c>
      <c r="M30" s="203" t="str">
        <f t="shared" si="3"/>
        <v/>
      </c>
      <c r="N30" s="79" t="str">
        <f t="shared" si="4"/>
        <v/>
      </c>
      <c r="O30" s="173">
        <v>0</v>
      </c>
      <c r="P30" s="203" t="str">
        <f t="shared" si="5"/>
        <v/>
      </c>
      <c r="Q30" s="79" t="str">
        <f t="shared" si="6"/>
        <v/>
      </c>
      <c r="R30" s="151" t="str">
        <f t="shared" si="7"/>
        <v/>
      </c>
      <c r="S30" s="162" t="str">
        <f t="shared" si="8"/>
        <v/>
      </c>
      <c r="T30" s="41"/>
      <c r="U30" s="41" t="str">
        <f t="shared" si="9"/>
        <v/>
      </c>
    </row>
    <row r="31" spans="1:148" s="11" customFormat="1" ht="13.5" outlineLevel="1" thickBot="1" x14ac:dyDescent="0.25">
      <c r="A31" s="163"/>
      <c r="B31" s="163"/>
      <c r="C31" s="163"/>
      <c r="D31" s="374"/>
      <c r="E31" s="164"/>
      <c r="F31" s="164"/>
      <c r="G31" s="165"/>
      <c r="H31" s="166" t="str">
        <f t="shared" si="0"/>
        <v/>
      </c>
      <c r="I31" s="167" t="str">
        <f t="shared" si="1"/>
        <v/>
      </c>
      <c r="J31" s="174" t="str">
        <f>IF(ISBLANK(A31),"",VLOOKUP(A31,gsrates!$A$3:$AQ$39,VLOOKUP($B$6,gsrates!$A$42:$C$62,2,FALSE),FALSE))</f>
        <v/>
      </c>
      <c r="K31" s="81" t="str">
        <f t="shared" si="2"/>
        <v/>
      </c>
      <c r="L31" s="204" t="str">
        <f>IF(ISBLANK(A31),"",VLOOKUP(A31,gsrates!$A$3:$AQ$39,VLOOKUP($B$6,gsrates!$A$42:$C$62,3,FALSE),FALSE))</f>
        <v/>
      </c>
      <c r="M31" s="204" t="str">
        <f t="shared" si="3"/>
        <v/>
      </c>
      <c r="N31" s="81" t="str">
        <f t="shared" si="4"/>
        <v/>
      </c>
      <c r="O31" s="171">
        <v>0</v>
      </c>
      <c r="P31" s="204" t="str">
        <f t="shared" si="5"/>
        <v/>
      </c>
      <c r="Q31" s="81" t="str">
        <f t="shared" si="6"/>
        <v/>
      </c>
      <c r="R31" s="154" t="str">
        <f t="shared" si="7"/>
        <v/>
      </c>
      <c r="S31" s="169" t="str">
        <f t="shared" si="8"/>
        <v/>
      </c>
      <c r="T31" s="170"/>
      <c r="U31" s="41" t="str">
        <f t="shared" si="9"/>
        <v/>
      </c>
      <c r="V31" s="41"/>
      <c r="W31" s="41"/>
      <c r="X31" s="41"/>
      <c r="Y31" s="41"/>
      <c r="Z31" s="41"/>
      <c r="AA31" s="41"/>
      <c r="AB31" s="41"/>
      <c r="AC31" s="41"/>
      <c r="AD31" s="41"/>
      <c r="AE31" s="41"/>
      <c r="AF31" s="41"/>
      <c r="AG31" s="41"/>
      <c r="AH31" s="41"/>
      <c r="AI31" s="41"/>
      <c r="AJ31" s="41"/>
      <c r="AK31" s="41"/>
      <c r="AL31" s="41"/>
      <c r="AM31" s="41"/>
      <c r="AN31" s="41"/>
      <c r="AO31" s="41"/>
      <c r="AP31" s="41"/>
      <c r="AQ31" s="41"/>
      <c r="AR31" s="41"/>
      <c r="AS31" s="41"/>
      <c r="AT31" s="41"/>
      <c r="AU31" s="41"/>
      <c r="AV31" s="41"/>
      <c r="AW31" s="41"/>
      <c r="AX31" s="41"/>
      <c r="AY31" s="41"/>
      <c r="AZ31" s="41"/>
      <c r="BA31" s="41"/>
      <c r="BB31" s="41"/>
      <c r="BC31" s="41"/>
      <c r="BD31" s="41"/>
      <c r="BE31" s="41"/>
      <c r="BF31" s="41"/>
      <c r="BG31" s="41"/>
      <c r="BH31" s="41"/>
      <c r="BI31" s="41"/>
      <c r="BJ31" s="41"/>
      <c r="BK31" s="41"/>
      <c r="BL31" s="41"/>
      <c r="BM31" s="41"/>
      <c r="BN31" s="41"/>
      <c r="BO31" s="41"/>
      <c r="BP31" s="41"/>
      <c r="BQ31" s="41"/>
      <c r="BR31" s="41"/>
      <c r="BS31" s="41"/>
      <c r="BT31" s="41"/>
      <c r="BU31" s="41"/>
      <c r="BV31" s="41"/>
      <c r="BW31" s="41"/>
      <c r="BX31" s="41"/>
      <c r="BY31" s="41"/>
      <c r="BZ31" s="41"/>
      <c r="CA31" s="41"/>
      <c r="CB31" s="41"/>
      <c r="CC31" s="41"/>
      <c r="CD31" s="41"/>
      <c r="CE31" s="41"/>
      <c r="CF31" s="41"/>
      <c r="CG31" s="41"/>
      <c r="CH31" s="41"/>
      <c r="CI31" s="41"/>
      <c r="CJ31" s="41"/>
      <c r="CK31" s="41"/>
      <c r="CL31" s="41"/>
      <c r="CM31" s="41"/>
      <c r="CN31" s="41"/>
      <c r="CO31" s="41"/>
      <c r="CP31" s="41"/>
      <c r="CQ31" s="41"/>
      <c r="CR31" s="41"/>
      <c r="CS31" s="41"/>
      <c r="CT31" s="41"/>
      <c r="CU31" s="41"/>
      <c r="CV31" s="41"/>
      <c r="CW31" s="41"/>
      <c r="CX31" s="41"/>
      <c r="CY31" s="41"/>
      <c r="CZ31" s="41"/>
      <c r="DA31" s="41"/>
      <c r="DB31" s="41"/>
      <c r="DC31" s="41"/>
      <c r="DD31" s="41"/>
      <c r="DE31" s="41"/>
      <c r="DF31" s="41"/>
      <c r="DG31" s="41"/>
      <c r="DH31" s="41"/>
      <c r="DI31" s="41"/>
      <c r="DJ31" s="41"/>
      <c r="DK31" s="41"/>
      <c r="DL31" s="41"/>
      <c r="DM31" s="41"/>
      <c r="DN31" s="41"/>
      <c r="DO31" s="41"/>
      <c r="DP31" s="41"/>
      <c r="DQ31" s="41"/>
      <c r="DR31" s="41"/>
      <c r="DS31" s="41"/>
      <c r="DT31" s="41"/>
      <c r="DU31" s="41"/>
      <c r="DV31" s="41"/>
      <c r="DW31" s="41"/>
      <c r="DX31" s="41"/>
      <c r="DY31" s="41"/>
      <c r="DZ31" s="41"/>
      <c r="EA31" s="41"/>
      <c r="EB31" s="41"/>
      <c r="EC31" s="41"/>
      <c r="ED31" s="41"/>
      <c r="EE31" s="41"/>
      <c r="EF31" s="41"/>
      <c r="EG31" s="41"/>
      <c r="EH31" s="41"/>
      <c r="EI31" s="41"/>
      <c r="EJ31" s="41"/>
      <c r="EK31" s="41"/>
      <c r="EL31" s="41"/>
      <c r="EM31" s="41"/>
      <c r="EN31" s="41"/>
      <c r="EO31" s="41"/>
      <c r="EP31" s="41"/>
      <c r="EQ31" s="41"/>
      <c r="ER31" s="41"/>
    </row>
    <row r="32" spans="1:148" x14ac:dyDescent="0.2">
      <c r="A32" s="466" t="s">
        <v>11</v>
      </c>
      <c r="B32" s="466"/>
      <c r="C32" s="263"/>
      <c r="D32" s="447"/>
      <c r="E32" s="7"/>
      <c r="F32" s="7"/>
      <c r="G32" s="8"/>
      <c r="H32" s="9">
        <f>SUM(H15:H31)</f>
        <v>0</v>
      </c>
      <c r="I32" s="9">
        <f>SUM(I15:I31)</f>
        <v>0</v>
      </c>
      <c r="J32" s="31"/>
      <c r="K32" s="36">
        <f>SUM(K15:K31)</f>
        <v>0</v>
      </c>
      <c r="L32" s="205"/>
      <c r="M32" s="205">
        <f>SUM(M15:M31)</f>
        <v>0</v>
      </c>
      <c r="N32" s="36">
        <f>SUM(N15:N31)</f>
        <v>0</v>
      </c>
      <c r="O32" s="33"/>
      <c r="P32" s="205">
        <f>SUM(P15:P31)</f>
        <v>0</v>
      </c>
      <c r="Q32" s="36">
        <f>SUM(Q15:Q31)</f>
        <v>0</v>
      </c>
      <c r="R32" s="15" t="str">
        <f>IF(H32=0,"",Q32/P32)</f>
        <v/>
      </c>
      <c r="S32" s="8" t="str">
        <f>IF(H32=0,"",1-P32/K32)</f>
        <v/>
      </c>
    </row>
    <row r="33" spans="1:148" x14ac:dyDescent="0.2">
      <c r="E33" s="7"/>
      <c r="F33" s="7"/>
      <c r="G33" s="8"/>
      <c r="H33" s="9"/>
      <c r="I33" s="9"/>
      <c r="J33" s="31"/>
      <c r="K33" s="36"/>
      <c r="L33" s="205"/>
      <c r="M33" s="205"/>
      <c r="N33" s="36"/>
      <c r="O33" s="33"/>
      <c r="P33" s="205"/>
      <c r="Q33" s="36"/>
      <c r="R33" s="10"/>
      <c r="S33" s="8"/>
    </row>
    <row r="34" spans="1:148" outlineLevel="1" x14ac:dyDescent="0.2">
      <c r="B34" s="3"/>
      <c r="C34" s="3"/>
      <c r="D34" s="3"/>
      <c r="E34" s="5"/>
      <c r="F34" s="5"/>
      <c r="G34" s="5"/>
      <c r="H34" s="6"/>
      <c r="I34" s="117"/>
      <c r="J34" s="34"/>
      <c r="K34" s="38"/>
      <c r="L34" s="206"/>
      <c r="M34" s="206"/>
      <c r="N34" s="38"/>
      <c r="O34" s="34"/>
      <c r="P34" s="206"/>
      <c r="Q34" s="38"/>
      <c r="R34" s="6"/>
      <c r="S34" s="6"/>
    </row>
    <row r="35" spans="1:148" outlineLevel="1" x14ac:dyDescent="0.2">
      <c r="A35" s="12" t="s">
        <v>12</v>
      </c>
      <c r="B35" s="12" t="s">
        <v>53</v>
      </c>
      <c r="C35" s="12"/>
      <c r="D35" s="12"/>
      <c r="E35" s="13" t="s">
        <v>54</v>
      </c>
      <c r="F35" s="13" t="s">
        <v>55</v>
      </c>
      <c r="G35" s="13" t="s">
        <v>7</v>
      </c>
      <c r="H35" s="13" t="s">
        <v>20</v>
      </c>
      <c r="I35" s="118" t="s">
        <v>78</v>
      </c>
      <c r="J35" s="40" t="s">
        <v>10</v>
      </c>
      <c r="K35" s="13" t="s">
        <v>56</v>
      </c>
      <c r="L35" s="202" t="s">
        <v>57</v>
      </c>
      <c r="M35" s="214" t="s">
        <v>31</v>
      </c>
      <c r="N35" s="39" t="s">
        <v>21</v>
      </c>
      <c r="O35" s="35" t="s">
        <v>22</v>
      </c>
      <c r="P35" s="214" t="s">
        <v>58</v>
      </c>
      <c r="Q35" s="13" t="s">
        <v>32</v>
      </c>
      <c r="R35" s="13" t="s">
        <v>23</v>
      </c>
      <c r="S35" s="13" t="s">
        <v>24</v>
      </c>
    </row>
    <row r="36" spans="1:148" outlineLevel="1" x14ac:dyDescent="0.2">
      <c r="A36" s="86"/>
      <c r="B36" s="86"/>
      <c r="C36" s="86"/>
      <c r="D36" s="86"/>
      <c r="E36" s="87"/>
      <c r="F36" s="87"/>
      <c r="G36" s="158"/>
      <c r="H36" s="9" t="str">
        <f t="shared" ref="H36:H42" si="10">IF(ISBLANK(A36),"",NETWORKDAYS(E36,F36)*G36)</f>
        <v/>
      </c>
      <c r="I36" s="119" t="str">
        <f t="shared" ref="I36:I42" si="11">IF(ISBLANK(A36),"",H36*$B$10)</f>
        <v/>
      </c>
      <c r="J36" s="89"/>
      <c r="K36" s="36" t="str">
        <f t="shared" ref="K36:K42" si="12">IF(ISBLANK(A36),"",I36*J36)</f>
        <v/>
      </c>
      <c r="L36" s="207"/>
      <c r="M36" s="215" t="str">
        <f t="shared" ref="M36:M42" si="13">IF(ISBLANK(A36)," ",(L36*H36*$B$10))</f>
        <v xml:space="preserve"> </v>
      </c>
      <c r="N36" s="36" t="str">
        <f>IF(ISBLANK(A36),"",(J36*H36*8)-M36)</f>
        <v/>
      </c>
      <c r="O36" s="89"/>
      <c r="P36" s="205" t="str">
        <f t="shared" ref="P36:P42" si="14">IF(ISBLANK(A36),"",H36*O36*$B$10)</f>
        <v/>
      </c>
      <c r="Q36" s="36" t="str">
        <f t="shared" ref="Q36:Q42" si="15">IF(ISBLANK(A36),"",P36-M36)</f>
        <v/>
      </c>
      <c r="R36" s="15" t="str">
        <f t="shared" ref="R36:R42" si="16">IF(ISBLANK(A36),"",Q36/P36)</f>
        <v/>
      </c>
      <c r="S36" s="8" t="str">
        <f t="shared" ref="S36:S42" si="17">IF(ISBLANK(A36),"",1-P36/K36)</f>
        <v/>
      </c>
      <c r="U36" s="41" t="str">
        <f t="shared" ref="U36:U42" si="18">IF(ISBLANK(A36),"",CONCATENATE(C36,"-",$B$6))</f>
        <v/>
      </c>
      <c r="Y36" s="263"/>
    </row>
    <row r="37" spans="1:148" outlineLevel="1" x14ac:dyDescent="0.2">
      <c r="A37" s="86"/>
      <c r="B37" s="86"/>
      <c r="C37" s="86"/>
      <c r="D37" s="86"/>
      <c r="E37" s="87"/>
      <c r="F37" s="87"/>
      <c r="G37" s="158"/>
      <c r="H37" s="9" t="str">
        <f t="shared" si="10"/>
        <v/>
      </c>
      <c r="I37" s="119" t="str">
        <f t="shared" si="11"/>
        <v/>
      </c>
      <c r="J37" s="89"/>
      <c r="K37" s="36" t="str">
        <f t="shared" si="12"/>
        <v/>
      </c>
      <c r="L37" s="207"/>
      <c r="M37" s="215" t="str">
        <f t="shared" si="13"/>
        <v xml:space="preserve"> </v>
      </c>
      <c r="N37" s="36" t="str">
        <f t="shared" ref="N37:N42" si="19">IF(ISBLANK(A37),"",K37-M37)</f>
        <v/>
      </c>
      <c r="O37" s="89"/>
      <c r="P37" s="205" t="str">
        <f t="shared" si="14"/>
        <v/>
      </c>
      <c r="Q37" s="36" t="str">
        <f t="shared" si="15"/>
        <v/>
      </c>
      <c r="R37" s="15" t="str">
        <f t="shared" si="16"/>
        <v/>
      </c>
      <c r="S37" s="8" t="str">
        <f t="shared" si="17"/>
        <v/>
      </c>
      <c r="U37" s="41" t="str">
        <f t="shared" si="18"/>
        <v/>
      </c>
    </row>
    <row r="38" spans="1:148" outlineLevel="1" x14ac:dyDescent="0.2">
      <c r="A38" s="86"/>
      <c r="B38" s="86"/>
      <c r="C38" s="86"/>
      <c r="D38" s="86"/>
      <c r="E38" s="87"/>
      <c r="F38" s="87"/>
      <c r="G38" s="158"/>
      <c r="H38" s="9" t="str">
        <f t="shared" si="10"/>
        <v/>
      </c>
      <c r="I38" s="119" t="str">
        <f t="shared" si="11"/>
        <v/>
      </c>
      <c r="J38" s="89"/>
      <c r="K38" s="36" t="str">
        <f t="shared" si="12"/>
        <v/>
      </c>
      <c r="L38" s="207"/>
      <c r="M38" s="215" t="str">
        <f t="shared" si="13"/>
        <v xml:space="preserve"> </v>
      </c>
      <c r="N38" s="36" t="str">
        <f t="shared" si="19"/>
        <v/>
      </c>
      <c r="O38" s="89"/>
      <c r="P38" s="205" t="str">
        <f t="shared" si="14"/>
        <v/>
      </c>
      <c r="Q38" s="36" t="str">
        <f t="shared" si="15"/>
        <v/>
      </c>
      <c r="R38" s="15" t="str">
        <f t="shared" si="16"/>
        <v/>
      </c>
      <c r="S38" s="8" t="str">
        <f t="shared" si="17"/>
        <v/>
      </c>
      <c r="U38" s="41" t="str">
        <f t="shared" si="18"/>
        <v/>
      </c>
    </row>
    <row r="39" spans="1:148" outlineLevel="1" x14ac:dyDescent="0.2">
      <c r="A39" s="86"/>
      <c r="B39" s="86"/>
      <c r="C39" s="86"/>
      <c r="D39" s="86"/>
      <c r="E39" s="87"/>
      <c r="F39" s="87"/>
      <c r="G39" s="158"/>
      <c r="H39" s="9" t="str">
        <f t="shared" si="10"/>
        <v/>
      </c>
      <c r="I39" s="119" t="str">
        <f t="shared" si="11"/>
        <v/>
      </c>
      <c r="J39" s="89"/>
      <c r="K39" s="36" t="str">
        <f t="shared" si="12"/>
        <v/>
      </c>
      <c r="L39" s="207"/>
      <c r="M39" s="215" t="str">
        <f t="shared" si="13"/>
        <v xml:space="preserve"> </v>
      </c>
      <c r="N39" s="36" t="str">
        <f t="shared" si="19"/>
        <v/>
      </c>
      <c r="O39" s="89"/>
      <c r="P39" s="205" t="str">
        <f t="shared" si="14"/>
        <v/>
      </c>
      <c r="Q39" s="36" t="str">
        <f t="shared" si="15"/>
        <v/>
      </c>
      <c r="R39" s="15" t="str">
        <f t="shared" si="16"/>
        <v/>
      </c>
      <c r="S39" s="8" t="str">
        <f t="shared" si="17"/>
        <v/>
      </c>
      <c r="U39" s="41" t="str">
        <f t="shared" si="18"/>
        <v/>
      </c>
    </row>
    <row r="40" spans="1:148" outlineLevel="1" x14ac:dyDescent="0.2">
      <c r="A40" s="86"/>
      <c r="B40" s="86"/>
      <c r="C40" s="86"/>
      <c r="D40" s="86"/>
      <c r="E40" s="87"/>
      <c r="F40" s="87"/>
      <c r="G40" s="158"/>
      <c r="H40" s="9" t="str">
        <f t="shared" si="10"/>
        <v/>
      </c>
      <c r="I40" s="119" t="str">
        <f t="shared" si="11"/>
        <v/>
      </c>
      <c r="J40" s="89"/>
      <c r="K40" s="36" t="str">
        <f t="shared" si="12"/>
        <v/>
      </c>
      <c r="L40" s="207"/>
      <c r="M40" s="215" t="str">
        <f t="shared" si="13"/>
        <v xml:space="preserve"> </v>
      </c>
      <c r="N40" s="36" t="str">
        <f t="shared" si="19"/>
        <v/>
      </c>
      <c r="O40" s="89"/>
      <c r="P40" s="205" t="str">
        <f t="shared" si="14"/>
        <v/>
      </c>
      <c r="Q40" s="36" t="str">
        <f t="shared" si="15"/>
        <v/>
      </c>
      <c r="R40" s="15" t="str">
        <f t="shared" si="16"/>
        <v/>
      </c>
      <c r="S40" s="8" t="str">
        <f t="shared" si="17"/>
        <v/>
      </c>
      <c r="U40" s="41" t="str">
        <f t="shared" si="18"/>
        <v/>
      </c>
    </row>
    <row r="41" spans="1:148" outlineLevel="1" x14ac:dyDescent="0.2">
      <c r="A41" s="86"/>
      <c r="B41" s="86"/>
      <c r="C41" s="86"/>
      <c r="D41" s="86"/>
      <c r="E41" s="87"/>
      <c r="F41" s="87"/>
      <c r="G41" s="158"/>
      <c r="H41" s="9" t="str">
        <f t="shared" si="10"/>
        <v/>
      </c>
      <c r="I41" s="119" t="str">
        <f t="shared" si="11"/>
        <v/>
      </c>
      <c r="J41" s="89"/>
      <c r="K41" s="36" t="str">
        <f t="shared" si="12"/>
        <v/>
      </c>
      <c r="L41" s="207"/>
      <c r="M41" s="215" t="str">
        <f t="shared" si="13"/>
        <v xml:space="preserve"> </v>
      </c>
      <c r="N41" s="36" t="str">
        <f t="shared" si="19"/>
        <v/>
      </c>
      <c r="O41" s="89"/>
      <c r="P41" s="205" t="str">
        <f t="shared" si="14"/>
        <v/>
      </c>
      <c r="Q41" s="36" t="str">
        <f t="shared" si="15"/>
        <v/>
      </c>
      <c r="R41" s="15" t="str">
        <f t="shared" si="16"/>
        <v/>
      </c>
      <c r="S41" s="8" t="str">
        <f t="shared" si="17"/>
        <v/>
      </c>
      <c r="U41" s="41" t="str">
        <f t="shared" si="18"/>
        <v/>
      </c>
    </row>
    <row r="42" spans="1:148" s="11" customFormat="1" ht="13.5" outlineLevel="1" thickBot="1" x14ac:dyDescent="0.25">
      <c r="A42" s="163"/>
      <c r="B42" s="163"/>
      <c r="C42" s="163"/>
      <c r="D42" s="163"/>
      <c r="E42" s="164"/>
      <c r="F42" s="164"/>
      <c r="G42" s="165"/>
      <c r="H42" s="166" t="str">
        <f t="shared" si="10"/>
        <v/>
      </c>
      <c r="I42" s="167" t="str">
        <f t="shared" si="11"/>
        <v/>
      </c>
      <c r="J42" s="171"/>
      <c r="K42" s="81" t="str">
        <f t="shared" si="12"/>
        <v/>
      </c>
      <c r="L42" s="208"/>
      <c r="M42" s="216" t="str">
        <f t="shared" si="13"/>
        <v xml:space="preserve"> </v>
      </c>
      <c r="N42" s="81" t="str">
        <f t="shared" si="19"/>
        <v/>
      </c>
      <c r="O42" s="171"/>
      <c r="P42" s="204" t="str">
        <f t="shared" si="14"/>
        <v/>
      </c>
      <c r="Q42" s="81" t="str">
        <f t="shared" si="15"/>
        <v/>
      </c>
      <c r="R42" s="154" t="str">
        <f t="shared" si="16"/>
        <v/>
      </c>
      <c r="S42" s="169" t="str">
        <f t="shared" si="17"/>
        <v/>
      </c>
      <c r="T42" s="170"/>
      <c r="U42" s="41" t="str">
        <f t="shared" si="18"/>
        <v/>
      </c>
      <c r="V42" s="41"/>
      <c r="W42" s="41"/>
      <c r="X42" s="41"/>
      <c r="Y42" s="41"/>
      <c r="Z42" s="41"/>
      <c r="AA42" s="41"/>
      <c r="AB42" s="41"/>
      <c r="AC42" s="41"/>
      <c r="AD42" s="41"/>
      <c r="AE42" s="41"/>
      <c r="AF42" s="41"/>
      <c r="AG42" s="41"/>
      <c r="AH42" s="41"/>
      <c r="AI42" s="41"/>
      <c r="AJ42" s="41"/>
      <c r="AK42" s="41"/>
      <c r="AL42" s="41"/>
      <c r="AM42" s="41"/>
      <c r="AN42" s="41"/>
      <c r="AO42" s="41"/>
      <c r="AP42" s="41"/>
      <c r="AQ42" s="41"/>
      <c r="AR42" s="41"/>
      <c r="AS42" s="41"/>
      <c r="AT42" s="41"/>
      <c r="AU42" s="41"/>
      <c r="AV42" s="41"/>
      <c r="AW42" s="41"/>
      <c r="AX42" s="41"/>
      <c r="AY42" s="41"/>
      <c r="AZ42" s="41"/>
      <c r="BA42" s="41"/>
      <c r="BB42" s="41"/>
      <c r="BC42" s="41"/>
      <c r="BD42" s="41"/>
      <c r="BE42" s="41"/>
      <c r="BF42" s="41"/>
      <c r="BG42" s="41"/>
      <c r="BH42" s="41"/>
      <c r="BI42" s="41"/>
      <c r="BJ42" s="41"/>
      <c r="BK42" s="41"/>
      <c r="BL42" s="41"/>
      <c r="BM42" s="41"/>
      <c r="BN42" s="41"/>
      <c r="BO42" s="41"/>
      <c r="BP42" s="41"/>
      <c r="BQ42" s="41"/>
      <c r="BR42" s="41"/>
      <c r="BS42" s="41"/>
      <c r="BT42" s="41"/>
      <c r="BU42" s="41"/>
      <c r="BV42" s="41"/>
      <c r="BW42" s="41"/>
      <c r="BX42" s="41"/>
      <c r="BY42" s="41"/>
      <c r="BZ42" s="41"/>
      <c r="CA42" s="41"/>
      <c r="CB42" s="41"/>
      <c r="CC42" s="41"/>
      <c r="CD42" s="41"/>
      <c r="CE42" s="41"/>
      <c r="CF42" s="41"/>
      <c r="CG42" s="41"/>
      <c r="CH42" s="41"/>
      <c r="CI42" s="41"/>
      <c r="CJ42" s="41"/>
      <c r="CK42" s="41"/>
      <c r="CL42" s="41"/>
      <c r="CM42" s="41"/>
      <c r="CN42" s="41"/>
      <c r="CO42" s="41"/>
      <c r="CP42" s="41"/>
      <c r="CQ42" s="41"/>
      <c r="CR42" s="41"/>
      <c r="CS42" s="41"/>
      <c r="CT42" s="41"/>
      <c r="CU42" s="41"/>
      <c r="CV42" s="41"/>
      <c r="CW42" s="41"/>
      <c r="CX42" s="41"/>
      <c r="CY42" s="41"/>
      <c r="CZ42" s="41"/>
      <c r="DA42" s="41"/>
      <c r="DB42" s="41"/>
      <c r="DC42" s="41"/>
      <c r="DD42" s="41"/>
      <c r="DE42" s="41"/>
      <c r="DF42" s="41"/>
      <c r="DG42" s="41"/>
      <c r="DH42" s="41"/>
      <c r="DI42" s="41"/>
      <c r="DJ42" s="41"/>
      <c r="DK42" s="41"/>
      <c r="DL42" s="41"/>
      <c r="DM42" s="41"/>
      <c r="DN42" s="41"/>
      <c r="DO42" s="41"/>
      <c r="DP42" s="41"/>
      <c r="DQ42" s="41"/>
      <c r="DR42" s="41"/>
      <c r="DS42" s="41"/>
      <c r="DT42" s="41"/>
      <c r="DU42" s="41"/>
      <c r="DV42" s="41"/>
      <c r="DW42" s="41"/>
      <c r="DX42" s="41"/>
      <c r="DY42" s="41"/>
      <c r="DZ42" s="41"/>
      <c r="EA42" s="41"/>
      <c r="EB42" s="41"/>
      <c r="EC42" s="41"/>
      <c r="ED42" s="41"/>
      <c r="EE42" s="41"/>
      <c r="EF42" s="41"/>
      <c r="EG42" s="41"/>
      <c r="EH42" s="41"/>
      <c r="EI42" s="41"/>
      <c r="EJ42" s="41"/>
      <c r="EK42" s="41"/>
      <c r="EL42" s="41"/>
      <c r="EM42" s="41"/>
      <c r="EN42" s="41"/>
      <c r="EO42" s="41"/>
      <c r="EP42" s="41"/>
      <c r="EQ42" s="41"/>
      <c r="ER42" s="41"/>
    </row>
    <row r="43" spans="1:148" x14ac:dyDescent="0.2">
      <c r="A43" s="3" t="s">
        <v>13</v>
      </c>
      <c r="H43" s="9">
        <f>SUM(H36:H42)</f>
        <v>0</v>
      </c>
      <c r="I43" s="9">
        <f>SUM(I36:I42)</f>
        <v>0</v>
      </c>
      <c r="J43" s="31"/>
      <c r="K43" s="36">
        <f>SUM(K36:K42)</f>
        <v>0</v>
      </c>
      <c r="L43" s="205"/>
      <c r="M43" s="205">
        <f>SUM(M36:M42)</f>
        <v>0</v>
      </c>
      <c r="N43" s="36">
        <f>SUM(N36:N42)</f>
        <v>0</v>
      </c>
      <c r="O43" s="33"/>
      <c r="P43" s="205">
        <f>SUM(P36:P42)</f>
        <v>0</v>
      </c>
      <c r="Q43" s="36">
        <f>SUM(Q36:Q42)</f>
        <v>0</v>
      </c>
      <c r="R43" s="15">
        <f>IF(ISBLANK(A43),"",IF(P43&gt;0,Q43/P43,0))</f>
        <v>0</v>
      </c>
      <c r="S43" s="8">
        <f>IF(ISBLANK(A43),"",IF(K43&gt;0,1-P43/K43,1))</f>
        <v>1</v>
      </c>
    </row>
    <row r="44" spans="1:148" x14ac:dyDescent="0.2">
      <c r="J44" s="31"/>
      <c r="K44" s="36"/>
      <c r="L44" s="205"/>
      <c r="M44" s="205"/>
      <c r="N44" s="36"/>
      <c r="P44" s="205"/>
      <c r="Q44" s="36"/>
    </row>
    <row r="45" spans="1:148" x14ac:dyDescent="0.2">
      <c r="A45" s="3" t="s">
        <v>14</v>
      </c>
      <c r="H45" s="17">
        <f>IF($B$5="Fixed Price",RISK!$L$7*(H32+H43),RISK!$N$7*(H32+H43))</f>
        <v>0</v>
      </c>
      <c r="I45" s="119">
        <f>IF(ISBLANK(B7),0,H45*B10)</f>
        <v>0</v>
      </c>
      <c r="J45" s="33"/>
      <c r="K45" s="50">
        <f>IF($B$5="Fixed Price",RISK!$L$7*(K32+K43),RISK!$N$7*(K32+K43))</f>
        <v>0</v>
      </c>
      <c r="L45" s="205"/>
      <c r="M45" s="50">
        <f>IF($B$5="Fixed Price",RISK!$L$7*(M32+M43),RISK!$N$7*(M32+M43))</f>
        <v>0</v>
      </c>
      <c r="N45" s="50">
        <f>IF($B$5="Fixed Price",RISK!$L$7*(N32+N43),RISK!$N$7*(N32+N43))</f>
        <v>0</v>
      </c>
      <c r="P45" s="50">
        <f>IF($B$5="Fixed Price",RISK!$L$7*(P32+P43),RISK!$N$7*(P32+P43))</f>
        <v>0</v>
      </c>
      <c r="Q45" s="50">
        <f>IF($B$5="Fixed Price",RISK!$L$7*(Q32+Q43),RISK!$N$7*(Q32+Q43))</f>
        <v>0</v>
      </c>
      <c r="R45" s="15" t="str">
        <f>IF(H45=0,"",Q45/P45)</f>
        <v/>
      </c>
      <c r="S45" s="8" t="str">
        <f>IF(H45=0,"",1-P45/K45)</f>
        <v/>
      </c>
    </row>
    <row r="46" spans="1:148" x14ac:dyDescent="0.2">
      <c r="A46" s="3" t="s">
        <v>165</v>
      </c>
      <c r="H46" s="17">
        <f>IF($B$5="Fixed Price",RISK!$M$7*(H32+H43)+RISK!$O$7*(H32+H43),0)</f>
        <v>0</v>
      </c>
      <c r="I46" s="119">
        <f>IF(ISBLANK(B7),0,H46*B10)</f>
        <v>0</v>
      </c>
      <c r="J46" s="33"/>
      <c r="K46" s="17">
        <f>IF($B$5="Fixed Price",RISK!$M$7*(K32+K43)+RISK!$O$7*(K32+K43),0)</f>
        <v>0</v>
      </c>
      <c r="L46" s="205"/>
      <c r="M46" s="17">
        <f>IF($B$5="Fixed Price",RISK!$M$7*(M32+M43)+RISK!$O$7*(M32+M43),0)</f>
        <v>0</v>
      </c>
      <c r="N46" s="17">
        <f>IF($B$5="Fixed Price",RISK!$M$7*(N32+N43)+RISK!$O$7*(N32+N43),0)</f>
        <v>0</v>
      </c>
      <c r="P46" s="17">
        <f>IF($B$5="Fixed Price",RISK!$M$7*(P32+P43)+RISK!$O$7*(P32+P43),0)</f>
        <v>0</v>
      </c>
      <c r="Q46" s="17">
        <f>IF($B$5="Fixed Price",RISK!$M$7*(Q32+Q43)+RISK!$O$7*(Q32+Q43),0)</f>
        <v>0</v>
      </c>
      <c r="R46" s="15" t="str">
        <f>IF(H46=0,"",Q46/P46)</f>
        <v/>
      </c>
      <c r="S46" s="8" t="str">
        <f>IF(H46=0,"",1-P46/K46)</f>
        <v/>
      </c>
    </row>
    <row r="47" spans="1:148" x14ac:dyDescent="0.2">
      <c r="A47" s="3" t="s">
        <v>164</v>
      </c>
      <c r="H47" s="17">
        <f>IF($B$5="T&amp;M",RISK!$O$7*(H32+H43),0)</f>
        <v>0</v>
      </c>
      <c r="I47" s="119">
        <f>IF(ISBLANK(B7),0,H47*B10)</f>
        <v>0</v>
      </c>
      <c r="J47" s="33"/>
      <c r="K47" s="17">
        <f>IF($B$5="T&amp;M",RISK!$O$7*(K32+K43),0)</f>
        <v>0</v>
      </c>
      <c r="L47" s="205"/>
      <c r="M47" s="17">
        <f>IF($B$5="T&amp;M",RISK!$O$7*(M32+M43),0)</f>
        <v>0</v>
      </c>
      <c r="N47" s="17">
        <f>IF($B$5="T&amp;M",RISK!$O$7*(N32+N43),0)</f>
        <v>0</v>
      </c>
      <c r="P47" s="17">
        <f>IF($B$5="T&amp;M",RISK!$O$7*(P32+P43),0)</f>
        <v>0</v>
      </c>
      <c r="Q47" s="17">
        <f>IF($B$5="T&amp;M",RISK!$O$7*(Q32+Q43),0)</f>
        <v>0</v>
      </c>
      <c r="R47" s="15" t="str">
        <f>IF(H47=0,"",Q47/P47)</f>
        <v/>
      </c>
      <c r="S47" s="8" t="str">
        <f>IF(H47=0,"",1-P47/K47)</f>
        <v/>
      </c>
    </row>
    <row r="48" spans="1:148" x14ac:dyDescent="0.2">
      <c r="A48" s="3" t="s">
        <v>141</v>
      </c>
      <c r="H48" s="17">
        <f>H32+H43+H45+H46+H47</f>
        <v>0</v>
      </c>
      <c r="I48" s="17">
        <f>I32+I43+I45+I46+I47</f>
        <v>0</v>
      </c>
      <c r="J48" s="33"/>
      <c r="K48" s="17">
        <f>K32+K43+K45+K46+K47</f>
        <v>0</v>
      </c>
      <c r="L48" s="205"/>
      <c r="M48" s="17">
        <f>M32+M43+M45+M46+M47</f>
        <v>0</v>
      </c>
      <c r="N48" s="17">
        <f>N32+N43+N45+N47+N58+N46</f>
        <v>0</v>
      </c>
      <c r="P48" s="17">
        <f>P32+P43+P45+P46+P47</f>
        <v>0</v>
      </c>
      <c r="Q48" s="17">
        <f>Q32+Q43+Q45+Q47+Q58+Q46</f>
        <v>0</v>
      </c>
      <c r="R48" s="15">
        <f>IF(ISBLANK(A48),"",IF(P48&gt;0,Q48/P48,0))</f>
        <v>0</v>
      </c>
      <c r="S48" s="8"/>
    </row>
    <row r="49" spans="1:148" x14ac:dyDescent="0.2">
      <c r="A49" s="3"/>
      <c r="H49" s="17"/>
      <c r="I49" s="119"/>
      <c r="J49" s="33"/>
      <c r="K49" s="50"/>
      <c r="L49" s="205"/>
      <c r="M49" s="50"/>
      <c r="N49" s="50"/>
      <c r="P49" s="50"/>
      <c r="Q49" s="50"/>
      <c r="R49" s="15"/>
      <c r="S49" s="8"/>
    </row>
    <row r="50" spans="1:148" hidden="1" outlineLevel="1" x14ac:dyDescent="0.2">
      <c r="A50" s="12" t="s">
        <v>139</v>
      </c>
      <c r="B50" s="12"/>
      <c r="C50" s="12"/>
      <c r="D50" s="12"/>
      <c r="E50" s="13" t="s">
        <v>54</v>
      </c>
      <c r="F50" s="13" t="s">
        <v>55</v>
      </c>
      <c r="G50" s="13" t="s">
        <v>143</v>
      </c>
      <c r="H50" s="13" t="s">
        <v>20</v>
      </c>
      <c r="I50" s="118" t="s">
        <v>78</v>
      </c>
      <c r="J50" s="40" t="s">
        <v>10</v>
      </c>
      <c r="K50" s="13" t="s">
        <v>56</v>
      </c>
      <c r="L50" s="202"/>
      <c r="M50" s="214" t="s">
        <v>31</v>
      </c>
      <c r="N50" s="39" t="s">
        <v>21</v>
      </c>
      <c r="O50" s="35" t="s">
        <v>22</v>
      </c>
      <c r="P50" s="214" t="s">
        <v>58</v>
      </c>
      <c r="Q50" s="13" t="s">
        <v>32</v>
      </c>
      <c r="R50" s="13"/>
      <c r="S50" s="13"/>
    </row>
    <row r="51" spans="1:148" hidden="1" outlineLevel="1" x14ac:dyDescent="0.2">
      <c r="A51" s="156"/>
      <c r="B51" s="156"/>
      <c r="C51" s="156"/>
      <c r="D51" s="156"/>
      <c r="E51" s="157"/>
      <c r="F51" s="157"/>
      <c r="G51" s="158"/>
      <c r="H51" s="159" t="str">
        <f>IF(ISBLANK(A51),"",NETWORKDAYS(E51,F51)*G51)</f>
        <v/>
      </c>
      <c r="I51" s="160" t="str">
        <f>IF(ISBLANK(A51),"",H51*$B$10)</f>
        <v/>
      </c>
      <c r="J51" s="161">
        <v>0</v>
      </c>
      <c r="K51" s="79" t="str">
        <f>IF(ISBLANK(A51),"",I51*J51)</f>
        <v/>
      </c>
      <c r="L51" s="209">
        <v>0</v>
      </c>
      <c r="M51" s="217" t="str">
        <f>IF(ISBLANK(A51)," ",(L51*H51*$B$10))</f>
        <v xml:space="preserve"> </v>
      </c>
      <c r="N51" s="79" t="str">
        <f>IF(ISBLANK(A51),"",(J51*H51*8)-M51)</f>
        <v/>
      </c>
      <c r="O51" s="161">
        <v>0</v>
      </c>
      <c r="P51" s="203" t="str">
        <f>IF(ISBLANK(A51),"",H51*O51*$B$10)</f>
        <v/>
      </c>
      <c r="Q51" s="79" t="str">
        <f>IF(ISBLANK(A51),"",P51-M51)</f>
        <v/>
      </c>
      <c r="R51" s="151"/>
      <c r="S51" s="162"/>
      <c r="T51" s="41"/>
      <c r="U51" s="41" t="str">
        <f>IF(ISBLANK(A51),"",CONCATENATE(C51,"-",$B$6))</f>
        <v/>
      </c>
      <c r="Y51" s="263"/>
    </row>
    <row r="52" spans="1:148" hidden="1" outlineLevel="1" x14ac:dyDescent="0.2">
      <c r="A52" s="156"/>
      <c r="B52" s="156"/>
      <c r="C52" s="156"/>
      <c r="D52" s="156"/>
      <c r="E52" s="157"/>
      <c r="F52" s="157"/>
      <c r="G52" s="158"/>
      <c r="H52" s="159" t="str">
        <f>IF(ISBLANK(A52),"",NETWORKDAYS(E52,F52)*G52)</f>
        <v/>
      </c>
      <c r="I52" s="160" t="str">
        <f>IF(ISBLANK(A52),"",H52*$B$10)</f>
        <v/>
      </c>
      <c r="J52" s="161">
        <v>0</v>
      </c>
      <c r="K52" s="79" t="str">
        <f>IF(ISBLANK(A52),"",I52*J52)</f>
        <v/>
      </c>
      <c r="L52" s="209">
        <v>0</v>
      </c>
      <c r="M52" s="217" t="str">
        <f>IF(ISBLANK(A52)," ",(L52*H52*$B$10))</f>
        <v xml:space="preserve"> </v>
      </c>
      <c r="N52" s="79" t="str">
        <f>IF(ISBLANK(A52),"",K52-M52)</f>
        <v/>
      </c>
      <c r="O52" s="161">
        <v>0</v>
      </c>
      <c r="P52" s="203" t="str">
        <f>IF(ISBLANK(A52),"",H52*O52*$B$10)</f>
        <v/>
      </c>
      <c r="Q52" s="79" t="str">
        <f>IF(ISBLANK(A52),"",P52-M52)</f>
        <v/>
      </c>
      <c r="R52" s="151"/>
      <c r="S52" s="162"/>
      <c r="T52" s="41"/>
      <c r="U52" s="41" t="str">
        <f>IF(ISBLANK(A52),"",CONCATENATE(C52,"-",$B$6))</f>
        <v/>
      </c>
    </row>
    <row r="53" spans="1:148" hidden="1" outlineLevel="1" x14ac:dyDescent="0.2">
      <c r="A53" s="156"/>
      <c r="B53" s="156"/>
      <c r="C53" s="156"/>
      <c r="D53" s="156"/>
      <c r="E53" s="157"/>
      <c r="F53" s="157"/>
      <c r="G53" s="158"/>
      <c r="H53" s="159" t="str">
        <f>IF(ISBLANK(A53),"",NETWORKDAYS(E53,F53)*G53)</f>
        <v/>
      </c>
      <c r="I53" s="160" t="str">
        <f>IF(ISBLANK(A53),"",H53*$B$10)</f>
        <v/>
      </c>
      <c r="J53" s="161">
        <v>0</v>
      </c>
      <c r="K53" s="79" t="str">
        <f>IF(ISBLANK(A53),"",I53*J53)</f>
        <v/>
      </c>
      <c r="L53" s="209">
        <v>0</v>
      </c>
      <c r="M53" s="217" t="str">
        <f>IF(ISBLANK(A53)," ",(L53*H53*$B$10))</f>
        <v xml:space="preserve"> </v>
      </c>
      <c r="N53" s="79" t="str">
        <f>IF(ISBLANK(A53),"",K53-M53)</f>
        <v/>
      </c>
      <c r="O53" s="161">
        <v>0</v>
      </c>
      <c r="P53" s="203" t="str">
        <f>IF(ISBLANK(A53),"",H53*O53*$B$10)</f>
        <v/>
      </c>
      <c r="Q53" s="79" t="str">
        <f>IF(ISBLANK(A53),"",P53-M53)</f>
        <v/>
      </c>
      <c r="R53" s="151" t="str">
        <f>IF(ISBLANK(A53),"",Q53/P53)</f>
        <v/>
      </c>
      <c r="S53" s="162" t="str">
        <f>IF(ISBLANK(A53),"",1-P53/K53)</f>
        <v/>
      </c>
      <c r="T53" s="41"/>
      <c r="U53" s="41" t="str">
        <f>IF(ISBLANK(A53),"",CONCATENATE(C53,"-",$B$6))</f>
        <v/>
      </c>
    </row>
    <row r="54" spans="1:148" hidden="1" outlineLevel="1" x14ac:dyDescent="0.2">
      <c r="A54" s="156"/>
      <c r="B54" s="156"/>
      <c r="C54" s="156"/>
      <c r="D54" s="156"/>
      <c r="E54" s="157"/>
      <c r="F54" s="157"/>
      <c r="G54" s="158"/>
      <c r="H54" s="159" t="str">
        <f>IF(ISBLANK(A54),"",NETWORKDAYS(E54,F54)*G54)</f>
        <v/>
      </c>
      <c r="I54" s="160" t="str">
        <f>IF(ISBLANK(A54),"",H54*$B$10)</f>
        <v/>
      </c>
      <c r="J54" s="161">
        <v>0</v>
      </c>
      <c r="K54" s="79" t="str">
        <f>IF(ISBLANK(A54),"",I54*J54)</f>
        <v/>
      </c>
      <c r="L54" s="209">
        <v>0</v>
      </c>
      <c r="M54" s="217" t="str">
        <f>IF(ISBLANK(A54)," ",(L54*H54*$B$10))</f>
        <v xml:space="preserve"> </v>
      </c>
      <c r="N54" s="79" t="str">
        <f>IF(ISBLANK(A54),"",K54-M54)</f>
        <v/>
      </c>
      <c r="O54" s="161">
        <v>0</v>
      </c>
      <c r="P54" s="203" t="str">
        <f>IF(ISBLANK(A54),"",H54*O54*$B$10)</f>
        <v/>
      </c>
      <c r="Q54" s="79" t="str">
        <f>IF(ISBLANK(A54),"",P54-M54)</f>
        <v/>
      </c>
      <c r="R54" s="151" t="str">
        <f>IF(ISBLANK(A54),"",Q54/P54)</f>
        <v/>
      </c>
      <c r="S54" s="162" t="str">
        <f>IF(ISBLANK(A54),"",1-P54/K54)</f>
        <v/>
      </c>
      <c r="T54" s="41"/>
      <c r="U54" s="41" t="str">
        <f>IF(ISBLANK(A54),"",CONCATENATE(C54,"-",$B$6))</f>
        <v/>
      </c>
    </row>
    <row r="55" spans="1:148" ht="13.5" hidden="1" outlineLevel="1" thickBot="1" x14ac:dyDescent="0.25">
      <c r="A55" s="163"/>
      <c r="B55" s="163"/>
      <c r="C55" s="163"/>
      <c r="D55" s="163"/>
      <c r="E55" s="164"/>
      <c r="F55" s="164"/>
      <c r="G55" s="165"/>
      <c r="H55" s="166" t="str">
        <f>IF(ISBLANK(A55),"",NETWORKDAYS(E55,F55)*G55)</f>
        <v/>
      </c>
      <c r="I55" s="167" t="str">
        <f>IF(ISBLANK(A55),"",H55*$B$10)</f>
        <v/>
      </c>
      <c r="J55" s="168">
        <v>0</v>
      </c>
      <c r="K55" s="81" t="str">
        <f>IF(ISBLANK(A55),"",I55*J55)</f>
        <v/>
      </c>
      <c r="L55" s="210">
        <v>0</v>
      </c>
      <c r="M55" s="216" t="str">
        <f>IF(ISBLANK(A55)," ",(L55*H55*$B$10))</f>
        <v xml:space="preserve"> </v>
      </c>
      <c r="N55" s="81" t="str">
        <f>IF(ISBLANK(A55),"",K55-M55)</f>
        <v/>
      </c>
      <c r="O55" s="168">
        <v>0</v>
      </c>
      <c r="P55" s="204" t="str">
        <f>IF(ISBLANK(A55),"",H55*O55*$B$10)</f>
        <v/>
      </c>
      <c r="Q55" s="81" t="str">
        <f>IF(ISBLANK(A55),"",P55-M55)</f>
        <v/>
      </c>
      <c r="R55" s="154" t="str">
        <f>IF(ISBLANK(A55),"",Q55/P55)</f>
        <v/>
      </c>
      <c r="S55" s="169" t="str">
        <f>IF(ISBLANK(A55),"",1-P55/K55)</f>
        <v/>
      </c>
      <c r="T55" s="170"/>
      <c r="U55" s="41" t="str">
        <f>IF(ISBLANK(A55),"",CONCATENATE(C55,"-",$B$6))</f>
        <v/>
      </c>
    </row>
    <row r="56" spans="1:148" hidden="1" collapsed="1" x14ac:dyDescent="0.2">
      <c r="A56" s="3" t="s">
        <v>140</v>
      </c>
      <c r="H56" s="17">
        <f>SUM(H51:H55)</f>
        <v>0</v>
      </c>
      <c r="I56" s="17">
        <f>SUM(I51:I55)</f>
        <v>0</v>
      </c>
      <c r="J56" s="33"/>
      <c r="K56" s="50"/>
      <c r="L56" s="205"/>
      <c r="M56" s="50"/>
      <c r="N56" s="50"/>
      <c r="P56" s="50"/>
      <c r="Q56" s="50"/>
      <c r="R56" s="15"/>
      <c r="S56" s="8"/>
    </row>
    <row r="57" spans="1:148" hidden="1" x14ac:dyDescent="0.2">
      <c r="A57" s="3"/>
      <c r="H57" s="17"/>
      <c r="I57" s="119"/>
      <c r="J57" s="33"/>
      <c r="K57" s="122"/>
      <c r="L57" s="205"/>
      <c r="M57" s="50"/>
      <c r="N57" s="50"/>
      <c r="P57" s="122"/>
      <c r="Q57" s="50"/>
      <c r="R57" s="15" t="str">
        <f>IF(H57=0,"",Q57/P57)</f>
        <v/>
      </c>
      <c r="S57" s="8" t="str">
        <f>IF(H57=0,"",1-P57/K57)</f>
        <v/>
      </c>
    </row>
    <row r="58" spans="1:148" s="11" customFormat="1" x14ac:dyDescent="0.2">
      <c r="A58" s="12" t="s">
        <v>16</v>
      </c>
      <c r="I58" s="120"/>
      <c r="J58" s="32"/>
      <c r="K58" s="37"/>
      <c r="L58" s="211"/>
      <c r="M58" s="353">
        <v>0</v>
      </c>
      <c r="N58" s="37"/>
      <c r="O58" s="32"/>
      <c r="P58" s="211">
        <f>IF($B$5="Fixed Price",M58,0)</f>
        <v>0</v>
      </c>
      <c r="Q58" s="37"/>
      <c r="R58" s="18"/>
      <c r="U58" s="41"/>
      <c r="V58" s="41"/>
      <c r="W58" s="41"/>
      <c r="X58" s="41"/>
      <c r="Y58" s="41"/>
      <c r="Z58" s="41"/>
      <c r="AA58" s="41"/>
      <c r="AB58" s="41"/>
      <c r="AC58" s="41"/>
      <c r="AD58" s="41"/>
      <c r="AE58" s="41"/>
      <c r="AF58" s="41"/>
      <c r="AG58" s="41"/>
      <c r="AH58" s="41"/>
      <c r="AI58" s="41"/>
      <c r="AJ58" s="41"/>
      <c r="AK58" s="41"/>
      <c r="AL58" s="41"/>
      <c r="AM58" s="41"/>
      <c r="AN58" s="41"/>
      <c r="AO58" s="41"/>
      <c r="AP58" s="41"/>
      <c r="AQ58" s="41"/>
      <c r="AR58" s="41"/>
      <c r="AS58" s="41"/>
      <c r="AT58" s="41"/>
      <c r="AU58" s="41"/>
      <c r="AV58" s="41"/>
      <c r="AW58" s="41"/>
      <c r="AX58" s="41"/>
      <c r="AY58" s="41"/>
      <c r="AZ58" s="41"/>
      <c r="BA58" s="41"/>
      <c r="BB58" s="41"/>
      <c r="BC58" s="41"/>
      <c r="BD58" s="41"/>
      <c r="BE58" s="41"/>
      <c r="BF58" s="41"/>
      <c r="BG58" s="41"/>
      <c r="BH58" s="41"/>
      <c r="BI58" s="41"/>
      <c r="BJ58" s="41"/>
      <c r="BK58" s="41"/>
      <c r="BL58" s="41"/>
      <c r="BM58" s="41"/>
      <c r="BN58" s="41"/>
      <c r="BO58" s="41"/>
      <c r="BP58" s="41"/>
      <c r="BQ58" s="41"/>
      <c r="BR58" s="41"/>
      <c r="BS58" s="41"/>
      <c r="BT58" s="41"/>
      <c r="BU58" s="41"/>
      <c r="BV58" s="41"/>
      <c r="BW58" s="41"/>
      <c r="BX58" s="41"/>
      <c r="BY58" s="41"/>
      <c r="BZ58" s="41"/>
      <c r="CA58" s="41"/>
      <c r="CB58" s="41"/>
      <c r="CC58" s="41"/>
      <c r="CD58" s="41"/>
      <c r="CE58" s="41"/>
      <c r="CF58" s="41"/>
      <c r="CG58" s="41"/>
      <c r="CH58" s="41"/>
      <c r="CI58" s="41"/>
      <c r="CJ58" s="41"/>
      <c r="CK58" s="41"/>
      <c r="CL58" s="41"/>
      <c r="CM58" s="41"/>
      <c r="CN58" s="41"/>
      <c r="CO58" s="41"/>
      <c r="CP58" s="41"/>
      <c r="CQ58" s="41"/>
      <c r="CR58" s="41"/>
      <c r="CS58" s="41"/>
      <c r="CT58" s="41"/>
      <c r="CU58" s="41"/>
      <c r="CV58" s="41"/>
      <c r="CW58" s="41"/>
      <c r="CX58" s="41"/>
      <c r="CY58" s="41"/>
      <c r="CZ58" s="41"/>
      <c r="DA58" s="41"/>
      <c r="DB58" s="41"/>
      <c r="DC58" s="41"/>
      <c r="DD58" s="41"/>
      <c r="DE58" s="41"/>
      <c r="DF58" s="41"/>
      <c r="DG58" s="41"/>
      <c r="DH58" s="41"/>
      <c r="DI58" s="41"/>
      <c r="DJ58" s="41"/>
      <c r="DK58" s="41"/>
      <c r="DL58" s="41"/>
      <c r="DM58" s="41"/>
      <c r="DN58" s="41"/>
      <c r="DO58" s="41"/>
      <c r="DP58" s="41"/>
      <c r="DQ58" s="41"/>
      <c r="DR58" s="41"/>
      <c r="DS58" s="41"/>
      <c r="DT58" s="41"/>
      <c r="DU58" s="41"/>
      <c r="DV58" s="41"/>
      <c r="DW58" s="41"/>
      <c r="DX58" s="41"/>
      <c r="DY58" s="41"/>
      <c r="DZ58" s="41"/>
      <c r="EA58" s="41"/>
      <c r="EB58" s="41"/>
      <c r="EC58" s="41"/>
      <c r="ED58" s="41"/>
      <c r="EE58" s="41"/>
      <c r="EF58" s="41"/>
      <c r="EG58" s="41"/>
      <c r="EH58" s="41"/>
      <c r="EI58" s="41"/>
      <c r="EJ58" s="41"/>
      <c r="EK58" s="41"/>
      <c r="EL58" s="41"/>
      <c r="EM58" s="41"/>
      <c r="EN58" s="41"/>
      <c r="EO58" s="41"/>
      <c r="EP58" s="41"/>
      <c r="EQ58" s="41"/>
      <c r="ER58" s="41"/>
    </row>
    <row r="59" spans="1:148" ht="15.75" x14ac:dyDescent="0.25">
      <c r="A59" s="14" t="s">
        <v>17</v>
      </c>
      <c r="H59" s="9">
        <f>H48+H56</f>
        <v>0</v>
      </c>
      <c r="I59" s="9">
        <f>I48+I56</f>
        <v>0</v>
      </c>
      <c r="J59" s="31"/>
      <c r="K59" s="36">
        <f>K48</f>
        <v>0</v>
      </c>
      <c r="L59" s="205"/>
      <c r="M59" s="205">
        <f>M48+M58</f>
        <v>0</v>
      </c>
      <c r="N59" s="36">
        <f>N48</f>
        <v>0</v>
      </c>
      <c r="O59" s="33"/>
      <c r="P59" s="205">
        <f>P48+P58</f>
        <v>0</v>
      </c>
      <c r="Q59" s="36">
        <f>Q48</f>
        <v>0</v>
      </c>
      <c r="R59" s="15">
        <f>IF(ISBLANK(A59),"",IF(P59&gt;0,Q59/P59,0))</f>
        <v>0</v>
      </c>
      <c r="S59" s="8">
        <f>IF(ISBLANK(A59),"",IF(K59&gt;0,1-P59/K59,1))</f>
        <v>1</v>
      </c>
    </row>
    <row r="60" spans="1:148" ht="4.5" customHeight="1" thickBot="1" x14ac:dyDescent="0.25">
      <c r="J60" s="31"/>
      <c r="K60" s="36"/>
      <c r="L60" s="205"/>
      <c r="M60" s="205"/>
      <c r="N60" s="36"/>
      <c r="P60" s="205"/>
      <c r="Q60" s="36"/>
    </row>
    <row r="61" spans="1:148" ht="15.75" customHeight="1" thickBot="1" x14ac:dyDescent="0.3">
      <c r="A61" s="63" t="s">
        <v>60</v>
      </c>
      <c r="B61" s="64"/>
      <c r="C61" s="64"/>
      <c r="D61" s="64"/>
      <c r="E61" s="64"/>
      <c r="F61" s="64"/>
      <c r="G61" s="64"/>
      <c r="H61" s="65"/>
      <c r="I61" s="121"/>
      <c r="J61" s="66"/>
      <c r="K61" s="67"/>
      <c r="L61" s="212"/>
      <c r="M61" s="212"/>
      <c r="N61" s="67"/>
      <c r="O61" s="66"/>
      <c r="P61" s="218">
        <f>P59</f>
        <v>0</v>
      </c>
      <c r="Q61" s="43">
        <f>P61-M59</f>
        <v>0</v>
      </c>
      <c r="R61" s="44">
        <f>IF(ISBLANK(A61),"",IF(P61&gt;0,Q61/P61,0))</f>
        <v>0</v>
      </c>
      <c r="S61" s="45">
        <f>IF(ISBLANK(A61),"",IF(K59&gt;0,1-P61/K59,1))</f>
        <v>1</v>
      </c>
    </row>
    <row r="62" spans="1:148" ht="6" customHeight="1" x14ac:dyDescent="0.2">
      <c r="J62" s="31"/>
      <c r="K62" s="36"/>
      <c r="L62" s="205"/>
      <c r="M62" s="205"/>
      <c r="N62" s="36"/>
      <c r="P62" s="205"/>
      <c r="Q62" s="36"/>
    </row>
    <row r="63" spans="1:148" outlineLevel="1" x14ac:dyDescent="0.2">
      <c r="A63" s="2" t="str">
        <f>IF($B$9="Estimate","Low Estimate","")</f>
        <v/>
      </c>
      <c r="H63" s="9">
        <f>H59*(1-$G$9)</f>
        <v>0</v>
      </c>
      <c r="I63" s="9">
        <f>I59*(1-$G$9)</f>
        <v>0</v>
      </c>
      <c r="J63" s="31"/>
      <c r="K63" s="36">
        <f>K59*(1-$G$9)</f>
        <v>0</v>
      </c>
      <c r="L63" s="205"/>
      <c r="M63" s="205">
        <f>M59*(1-$G$9)</f>
        <v>0</v>
      </c>
      <c r="N63" s="36">
        <f>N59*(1-$G$9)</f>
        <v>0</v>
      </c>
      <c r="O63" s="49"/>
      <c r="P63" s="205">
        <f>P59*(1-$G$9)</f>
        <v>0</v>
      </c>
      <c r="Q63" s="36">
        <f>Q59*(1-$G$9)</f>
        <v>0</v>
      </c>
      <c r="R63" s="15">
        <f>IF(ISBLANK(A63),"",IF(P63&gt;0,Q63/P63,0))</f>
        <v>0</v>
      </c>
      <c r="S63" s="8"/>
    </row>
    <row r="64" spans="1:148" outlineLevel="1" x14ac:dyDescent="0.2">
      <c r="A64" s="2" t="str">
        <f>IF($B$9="Estimate","High Estimate","")</f>
        <v/>
      </c>
      <c r="H64" s="9">
        <f>H59*(1+$G$10)</f>
        <v>0</v>
      </c>
      <c r="I64" s="9">
        <f>I59*(1+$G$10)</f>
        <v>0</v>
      </c>
      <c r="J64" s="31"/>
      <c r="K64" s="36">
        <f>K59*(1+$G$10)</f>
        <v>0</v>
      </c>
      <c r="L64" s="205"/>
      <c r="M64" s="205">
        <f>M59*(1+$G$10)</f>
        <v>0</v>
      </c>
      <c r="N64" s="36">
        <f>N59*(1+$G$10)</f>
        <v>0</v>
      </c>
      <c r="O64" s="49"/>
      <c r="P64" s="205">
        <f>P59*(1+$G$10)</f>
        <v>0</v>
      </c>
      <c r="Q64" s="36">
        <f>Q59*(1+$G$10)</f>
        <v>0</v>
      </c>
      <c r="R64" s="15">
        <f>IF(ISBLANK(A64),"",IF(P64&gt;0,Q64/P64,0))</f>
        <v>0</v>
      </c>
      <c r="S64" s="8"/>
    </row>
    <row r="65" spans="10:10" x14ac:dyDescent="0.2">
      <c r="J65" s="31"/>
    </row>
  </sheetData>
  <sheetProtection sheet="1" objects="1" scenarios="1" sort="0" autoFilter="0" pivotTables="0"/>
  <mergeCells count="1">
    <mergeCell ref="A32:B32"/>
  </mergeCells>
  <dataValidations count="12">
    <dataValidation type="decimal" allowBlank="1" showInputMessage="1" showErrorMessage="1" sqref="G15:G31 G51" xr:uid="{00000000-0002-0000-0800-000000000000}">
      <formula1>0</formula1>
      <formula2>1</formula2>
    </dataValidation>
    <dataValidation type="list" allowBlank="1" showInputMessage="1" showErrorMessage="1" sqref="C15:C31" xr:uid="{00000000-0002-0000-0800-000001000000}">
      <formula1>"APAC, EU, NA, SELECT ONE, ERROR"</formula1>
    </dataValidation>
    <dataValidation type="list" allowBlank="1" showInputMessage="1" showErrorMessage="1" sqref="B9" xr:uid="{00000000-0002-0000-0800-000002000000}">
      <formula1>"Quote, Estimate, Select One"</formula1>
    </dataValidation>
    <dataValidation type="list" allowBlank="1" showInputMessage="1" showErrorMessage="1" sqref="B5" xr:uid="{00000000-0002-0000-0800-000003000000}">
      <formula1>"NSC, T&amp;M, Fixed Price, SELECT ONE"</formula1>
    </dataValidation>
    <dataValidation type="list" showInputMessage="1" showErrorMessage="1" sqref="B11" xr:uid="{00000000-0002-0000-0800-000004000000}">
      <formula1>"SELECT ONE, APAC, EU, NA"</formula1>
    </dataValidation>
    <dataValidation type="date" operator="greaterThanOrEqual" allowBlank="1" showInputMessage="1" showErrorMessage="1" sqref="E51:E52 E53:F55 E37:F42 E36 E15:E31" xr:uid="{00000000-0002-0000-0800-000005000000}">
      <formula1>38353</formula1>
    </dataValidation>
    <dataValidation type="whole" showInputMessage="1" showErrorMessage="1" sqref="B10:D10" xr:uid="{00000000-0002-0000-0800-000006000000}">
      <formula1>8</formula1>
      <formula2>9</formula2>
    </dataValidation>
    <dataValidation type="decimal" allowBlank="1" showInputMessage="1" showErrorMessage="1" sqref="G36:G42" xr:uid="{00000000-0002-0000-0800-000007000000}">
      <formula1>0</formula1>
      <formula2>5</formula2>
    </dataValidation>
    <dataValidation type="date" operator="greaterThan" allowBlank="1" showInputMessage="1" showErrorMessage="1" sqref="F51:F52 F36 F15:F31" xr:uid="{00000000-0002-0000-0800-000008000000}">
      <formula1>38353</formula1>
    </dataValidation>
    <dataValidation type="list" showInputMessage="1" showErrorMessage="1" sqref="C5:D5" xr:uid="{00000000-0002-0000-0800-000009000000}">
      <formula1>"T&amp;M, Fixed Price, SELECT ONE"</formula1>
    </dataValidation>
    <dataValidation type="list" showInputMessage="1" showErrorMessage="1" sqref="C9:D9" xr:uid="{00000000-0002-0000-0800-00000A000000}">
      <formula1>"Quote, Estimate, SELECT ONE"</formula1>
    </dataValidation>
    <dataValidation type="whole" allowBlank="1" showInputMessage="1" showErrorMessage="1" sqref="D15:D31" xr:uid="{00000000-0002-0000-0800-00000B000000}">
      <formula1>0</formula1>
      <formula2>10</formula2>
    </dataValidation>
  </dataValidations>
  <pageMargins left="0.75" right="0.75" top="1" bottom="1" header="0.5" footer="0.5"/>
  <pageSetup scale="57" fitToHeight="5" orientation="landscape" r:id="rId1"/>
  <headerFooter alignWithMargins="0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800-00000C000000}">
          <x14:formula1>
            <xm:f>gsrates!$A$64:$A$101</xm:f>
          </x14:formula1>
          <xm:sqref>A15:A31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1">
    <pageSetUpPr fitToPage="1"/>
  </sheetPr>
  <dimension ref="A1:Q74"/>
  <sheetViews>
    <sheetView topLeftCell="K1" workbookViewId="0">
      <selection activeCell="O6" sqref="O6"/>
    </sheetView>
  </sheetViews>
  <sheetFormatPr defaultRowHeight="12.75" x14ac:dyDescent="0.2"/>
  <cols>
    <col min="1" max="1" width="28.1640625" hidden="1" customWidth="1"/>
    <col min="2" max="2" width="10.33203125" hidden="1" customWidth="1"/>
    <col min="3" max="9" width="11.5" hidden="1" customWidth="1"/>
    <col min="10" max="10" width="13.33203125" style="29" hidden="1" customWidth="1"/>
    <col min="11" max="11" width="18.1640625" bestFit="1" customWidth="1"/>
    <col min="12" max="12" width="13.1640625" customWidth="1"/>
    <col min="13" max="14" width="12.6640625" bestFit="1" customWidth="1"/>
    <col min="15" max="15" width="18.83203125" bestFit="1" customWidth="1"/>
  </cols>
  <sheetData>
    <row r="1" spans="1:15" x14ac:dyDescent="0.2">
      <c r="K1" s="244"/>
      <c r="L1" s="484" t="s">
        <v>1</v>
      </c>
      <c r="M1" s="485"/>
      <c r="N1" s="224" t="s">
        <v>18</v>
      </c>
      <c r="O1" s="245" t="s">
        <v>166</v>
      </c>
    </row>
    <row r="2" spans="1:15" ht="13.5" thickBot="1" x14ac:dyDescent="0.25">
      <c r="A2" s="1"/>
      <c r="B2" s="30"/>
      <c r="C2" s="30"/>
      <c r="D2" s="30"/>
      <c r="E2" s="30"/>
      <c r="F2" s="30"/>
      <c r="G2" s="30"/>
      <c r="H2" s="30"/>
      <c r="I2" s="30"/>
      <c r="J2" s="28"/>
      <c r="K2" s="226"/>
      <c r="L2" s="226" t="s">
        <v>14</v>
      </c>
      <c r="M2" s="227" t="s">
        <v>15</v>
      </c>
      <c r="N2" s="225" t="s">
        <v>14</v>
      </c>
      <c r="O2" s="246" t="s">
        <v>167</v>
      </c>
    </row>
    <row r="3" spans="1:15" x14ac:dyDescent="0.2">
      <c r="A3" s="46"/>
      <c r="B3" s="95"/>
      <c r="C3" s="48"/>
      <c r="D3" s="47"/>
      <c r="E3" s="48"/>
      <c r="F3" s="47"/>
      <c r="G3" s="48"/>
      <c r="H3" s="47"/>
      <c r="I3" s="48"/>
      <c r="J3" s="99"/>
      <c r="K3" s="226" t="s">
        <v>92</v>
      </c>
      <c r="L3" s="68">
        <v>0.125</v>
      </c>
      <c r="M3" s="69">
        <v>0.05</v>
      </c>
      <c r="N3" s="70">
        <v>0.125</v>
      </c>
      <c r="O3" s="109">
        <v>0</v>
      </c>
    </row>
    <row r="4" spans="1:15" x14ac:dyDescent="0.2">
      <c r="A4" s="60"/>
      <c r="B4" s="100"/>
      <c r="C4" s="101"/>
      <c r="D4" s="102"/>
      <c r="E4" s="101"/>
      <c r="F4" s="102"/>
      <c r="G4" s="101"/>
      <c r="H4" s="102"/>
      <c r="I4" s="101"/>
      <c r="J4" s="99"/>
      <c r="K4" s="226" t="s">
        <v>74</v>
      </c>
      <c r="L4" s="71">
        <v>0.125</v>
      </c>
      <c r="M4" s="16">
        <v>0.1</v>
      </c>
      <c r="N4" s="19">
        <v>0.125</v>
      </c>
      <c r="O4" s="110">
        <v>0</v>
      </c>
    </row>
    <row r="5" spans="1:15" x14ac:dyDescent="0.2">
      <c r="A5" s="60"/>
      <c r="B5" s="100"/>
      <c r="C5" s="101"/>
      <c r="D5" s="102"/>
      <c r="E5" s="101"/>
      <c r="F5" s="102"/>
      <c r="G5" s="101"/>
      <c r="H5" s="102"/>
      <c r="I5" s="101"/>
      <c r="J5" s="99"/>
      <c r="K5" s="226" t="s">
        <v>75</v>
      </c>
      <c r="L5" s="71">
        <v>0.125</v>
      </c>
      <c r="M5" s="16">
        <v>0.15</v>
      </c>
      <c r="N5" s="19">
        <v>0.125</v>
      </c>
      <c r="O5" s="110">
        <v>0</v>
      </c>
    </row>
    <row r="6" spans="1:15" x14ac:dyDescent="0.2">
      <c r="A6" s="60"/>
      <c r="B6" s="100"/>
      <c r="C6" s="101"/>
      <c r="D6" s="102"/>
      <c r="E6" s="101"/>
      <c r="F6" s="102"/>
      <c r="G6" s="101"/>
      <c r="H6" s="102"/>
      <c r="I6" s="101"/>
      <c r="J6" s="99"/>
      <c r="K6" s="226" t="s">
        <v>76</v>
      </c>
      <c r="L6" s="71">
        <v>0.125</v>
      </c>
      <c r="M6" s="16">
        <v>0.25</v>
      </c>
      <c r="N6" s="19">
        <v>0.125</v>
      </c>
      <c r="O6" s="110">
        <v>0</v>
      </c>
    </row>
    <row r="7" spans="1:15" ht="13.5" thickBot="1" x14ac:dyDescent="0.25">
      <c r="A7" s="60"/>
      <c r="B7" s="100"/>
      <c r="C7" s="101"/>
      <c r="D7" s="102"/>
      <c r="E7" s="155"/>
      <c r="F7" s="102"/>
      <c r="G7" s="101"/>
      <c r="H7" s="102"/>
      <c r="I7" s="101"/>
      <c r="J7" s="99"/>
      <c r="K7" s="226" t="s">
        <v>19</v>
      </c>
      <c r="L7" s="72">
        <v>0</v>
      </c>
      <c r="M7" s="73">
        <v>0</v>
      </c>
      <c r="N7" s="74">
        <v>0</v>
      </c>
      <c r="O7" s="111">
        <v>0</v>
      </c>
    </row>
    <row r="8" spans="1:15" x14ac:dyDescent="0.2">
      <c r="A8" s="60"/>
      <c r="B8" s="100"/>
      <c r="C8" s="101"/>
      <c r="D8" s="102"/>
      <c r="E8" s="101"/>
      <c r="F8" s="102"/>
      <c r="G8" s="101"/>
      <c r="H8" s="102"/>
      <c r="I8" s="101"/>
      <c r="J8" s="99"/>
      <c r="K8" s="247" t="s">
        <v>177</v>
      </c>
      <c r="L8" s="71">
        <v>7.4999999999999997E-2</v>
      </c>
      <c r="M8" s="16">
        <v>0</v>
      </c>
      <c r="N8" s="19">
        <v>0</v>
      </c>
      <c r="O8" s="110">
        <v>0</v>
      </c>
    </row>
    <row r="9" spans="1:15" x14ac:dyDescent="0.2">
      <c r="A9" s="60"/>
      <c r="B9" s="100"/>
      <c r="C9" s="101"/>
      <c r="D9" s="102"/>
      <c r="E9" s="101"/>
      <c r="F9" s="102"/>
      <c r="G9" s="101"/>
      <c r="H9" s="102"/>
      <c r="I9" s="101"/>
      <c r="J9" s="99"/>
      <c r="K9" s="248" t="s">
        <v>178</v>
      </c>
      <c r="L9" s="71">
        <v>7.4999999999999997E-2</v>
      </c>
      <c r="M9" s="16">
        <v>0</v>
      </c>
      <c r="N9" s="19">
        <v>0</v>
      </c>
      <c r="O9" s="110">
        <v>0</v>
      </c>
    </row>
    <row r="10" spans="1:15" ht="13.5" thickBot="1" x14ac:dyDescent="0.25">
      <c r="A10" s="60"/>
      <c r="B10" s="100"/>
      <c r="C10" s="101"/>
      <c r="D10" s="102"/>
      <c r="E10" s="101"/>
      <c r="F10" s="102"/>
      <c r="G10" s="101"/>
      <c r="H10" s="102"/>
      <c r="I10" s="101"/>
      <c r="J10" s="99"/>
      <c r="K10" s="249" t="s">
        <v>182</v>
      </c>
      <c r="L10" s="72">
        <v>7.4999999999999997E-2</v>
      </c>
      <c r="M10" s="73">
        <v>0</v>
      </c>
      <c r="N10" s="74">
        <v>0</v>
      </c>
      <c r="O10" s="111">
        <v>0</v>
      </c>
    </row>
    <row r="11" spans="1:15" hidden="1" x14ac:dyDescent="0.2">
      <c r="A11" s="60"/>
      <c r="B11" s="100"/>
      <c r="C11" s="101"/>
      <c r="D11" s="102"/>
      <c r="E11" s="101"/>
      <c r="F11" s="102"/>
      <c r="G11" s="101"/>
      <c r="H11" s="102"/>
      <c r="I11" s="101"/>
      <c r="J11" s="99"/>
      <c r="L11" s="238"/>
      <c r="M11" s="16"/>
      <c r="N11" s="16"/>
      <c r="O11" s="228"/>
    </row>
    <row r="12" spans="1:15" hidden="1" x14ac:dyDescent="0.2">
      <c r="A12" s="60"/>
      <c r="B12" s="100"/>
      <c r="C12" s="101"/>
      <c r="D12" s="102"/>
      <c r="E12" s="101"/>
      <c r="F12" s="102"/>
      <c r="G12" s="101"/>
      <c r="H12" s="102"/>
      <c r="I12" s="101"/>
      <c r="J12" s="99"/>
      <c r="L12" s="238"/>
      <c r="M12" s="16"/>
      <c r="N12" s="16"/>
      <c r="O12" s="228"/>
    </row>
    <row r="13" spans="1:15" hidden="1" x14ac:dyDescent="0.2">
      <c r="A13" s="60"/>
      <c r="B13" s="100"/>
      <c r="C13" s="101"/>
      <c r="D13" s="102"/>
      <c r="E13" s="101"/>
      <c r="F13" s="102"/>
      <c r="G13" s="101"/>
      <c r="H13" s="102"/>
      <c r="I13" s="101"/>
      <c r="J13" s="99"/>
      <c r="L13" s="238"/>
      <c r="M13" s="16"/>
      <c r="N13" s="16"/>
      <c r="O13" s="228"/>
    </row>
    <row r="14" spans="1:15" hidden="1" x14ac:dyDescent="0.2">
      <c r="A14" s="60"/>
      <c r="B14" s="100"/>
      <c r="C14" s="101"/>
      <c r="D14" s="102"/>
      <c r="E14" s="101"/>
      <c r="F14" s="102"/>
      <c r="G14" s="101"/>
      <c r="H14" s="102"/>
      <c r="I14" s="101"/>
      <c r="L14" s="238"/>
      <c r="M14" s="16"/>
      <c r="N14" s="16"/>
      <c r="O14" s="228"/>
    </row>
    <row r="15" spans="1:15" hidden="1" x14ac:dyDescent="0.2">
      <c r="A15" s="60"/>
      <c r="B15" s="100"/>
      <c r="C15" s="101"/>
      <c r="D15" s="102"/>
      <c r="E15" s="101"/>
      <c r="F15" s="102"/>
      <c r="G15" s="101"/>
      <c r="H15" s="102"/>
      <c r="I15" s="101"/>
      <c r="L15" s="238"/>
      <c r="M15" s="16"/>
      <c r="N15" s="16"/>
      <c r="O15" s="228"/>
    </row>
    <row r="16" spans="1:15" hidden="1" x14ac:dyDescent="0.2">
      <c r="A16" s="60"/>
      <c r="B16" s="100"/>
      <c r="C16" s="101"/>
      <c r="D16" s="102"/>
      <c r="E16" s="101"/>
      <c r="F16" s="102"/>
      <c r="G16" s="101"/>
      <c r="H16" s="102"/>
      <c r="I16" s="101"/>
      <c r="L16" s="238"/>
      <c r="M16" s="16"/>
      <c r="N16" s="16"/>
      <c r="O16" s="228"/>
    </row>
    <row r="17" spans="1:17" hidden="1" x14ac:dyDescent="0.2">
      <c r="A17" s="60"/>
      <c r="B17" s="100"/>
      <c r="C17" s="101"/>
      <c r="D17" s="102"/>
      <c r="E17" s="101"/>
      <c r="F17" s="102"/>
      <c r="G17" s="101"/>
      <c r="H17" s="102"/>
      <c r="I17" s="101"/>
      <c r="L17" s="238"/>
      <c r="M17" s="16"/>
      <c r="N17" s="16"/>
      <c r="O17" s="228"/>
    </row>
    <row r="18" spans="1:17" hidden="1" x14ac:dyDescent="0.2">
      <c r="A18" s="60"/>
      <c r="B18" s="100"/>
      <c r="C18" s="101"/>
      <c r="D18" s="102"/>
      <c r="E18" s="101"/>
      <c r="F18" s="102"/>
      <c r="G18" s="101"/>
      <c r="H18" s="102"/>
      <c r="I18" s="101"/>
      <c r="L18" s="238"/>
      <c r="M18" s="16"/>
      <c r="N18" s="16"/>
      <c r="O18" s="228"/>
    </row>
    <row r="19" spans="1:17" hidden="1" x14ac:dyDescent="0.2">
      <c r="A19" s="60"/>
      <c r="B19" s="100"/>
      <c r="C19" s="101"/>
      <c r="D19" s="102"/>
      <c r="E19" s="101"/>
      <c r="F19" s="102"/>
      <c r="G19" s="101"/>
      <c r="H19" s="102"/>
      <c r="I19" s="101"/>
      <c r="L19" s="238"/>
      <c r="M19" s="16"/>
      <c r="N19" s="16"/>
      <c r="O19" s="228"/>
    </row>
    <row r="20" spans="1:17" hidden="1" x14ac:dyDescent="0.2">
      <c r="A20" s="60"/>
      <c r="B20" s="100"/>
      <c r="C20" s="101"/>
      <c r="D20" s="102"/>
      <c r="E20" s="101"/>
      <c r="F20" s="102"/>
      <c r="G20" s="101"/>
      <c r="H20" s="102"/>
      <c r="I20" s="101"/>
      <c r="L20" s="238"/>
      <c r="M20" s="16"/>
      <c r="N20" s="16"/>
      <c r="O20" s="228"/>
    </row>
    <row r="21" spans="1:17" hidden="1" x14ac:dyDescent="0.2">
      <c r="A21" s="60"/>
      <c r="B21" s="100"/>
      <c r="C21" s="101"/>
      <c r="D21" s="102"/>
      <c r="E21" s="101"/>
      <c r="F21" s="102"/>
      <c r="G21" s="101"/>
      <c r="H21" s="102"/>
      <c r="I21" s="101"/>
      <c r="L21" s="238"/>
      <c r="M21" s="16"/>
      <c r="N21" s="16"/>
      <c r="O21" s="228"/>
    </row>
    <row r="22" spans="1:17" hidden="1" x14ac:dyDescent="0.2">
      <c r="A22" s="60"/>
      <c r="B22" s="100"/>
      <c r="C22" s="101"/>
      <c r="D22" s="102"/>
      <c r="E22" s="101"/>
      <c r="F22" s="102"/>
      <c r="G22" s="101"/>
      <c r="H22" s="102"/>
      <c r="I22" s="101"/>
      <c r="L22" s="238"/>
      <c r="M22" s="16"/>
      <c r="N22" s="16"/>
      <c r="O22" s="228"/>
    </row>
    <row r="23" spans="1:17" hidden="1" x14ac:dyDescent="0.2">
      <c r="A23" s="60"/>
      <c r="B23" s="100"/>
      <c r="C23" s="101"/>
      <c r="D23" s="102"/>
      <c r="E23" s="101"/>
      <c r="F23" s="102"/>
      <c r="G23" s="101"/>
      <c r="H23" s="102"/>
      <c r="I23" s="101"/>
      <c r="L23" s="238"/>
      <c r="M23" s="16"/>
      <c r="N23" s="16"/>
      <c r="O23" s="228"/>
    </row>
    <row r="24" spans="1:17" hidden="1" x14ac:dyDescent="0.2">
      <c r="A24" s="60"/>
      <c r="B24" s="100"/>
      <c r="C24" s="101"/>
      <c r="D24" s="102"/>
      <c r="E24" s="101"/>
      <c r="F24" s="102"/>
      <c r="G24" s="101"/>
      <c r="H24" s="102"/>
      <c r="I24" s="101"/>
      <c r="L24" s="238"/>
      <c r="M24" s="16"/>
      <c r="N24" s="16"/>
      <c r="O24" s="228"/>
    </row>
    <row r="25" spans="1:17" hidden="1" x14ac:dyDescent="0.2">
      <c r="A25" s="61"/>
      <c r="B25" s="103"/>
      <c r="C25" s="104"/>
      <c r="D25" s="105"/>
      <c r="E25" s="104"/>
      <c r="F25" s="105"/>
      <c r="G25" s="104"/>
      <c r="H25" s="105"/>
      <c r="I25" s="104"/>
      <c r="L25" s="238"/>
      <c r="M25" s="16"/>
      <c r="N25" s="16"/>
      <c r="O25" s="228"/>
    </row>
    <row r="26" spans="1:17" hidden="1" x14ac:dyDescent="0.2">
      <c r="A26" s="29"/>
      <c r="B26" s="99"/>
      <c r="C26" s="99"/>
      <c r="D26" s="99"/>
      <c r="E26" s="99"/>
      <c r="F26" s="99"/>
      <c r="G26" s="99"/>
      <c r="H26" s="99"/>
      <c r="I26" s="99"/>
      <c r="L26" s="238"/>
      <c r="M26" s="16"/>
      <c r="N26" s="16"/>
      <c r="O26" s="228"/>
    </row>
    <row r="27" spans="1:17" hidden="1" x14ac:dyDescent="0.2">
      <c r="A27" s="28" t="s">
        <v>70</v>
      </c>
      <c r="B27" s="106" t="s">
        <v>71</v>
      </c>
      <c r="C27" s="106" t="s">
        <v>8</v>
      </c>
      <c r="D27" s="99"/>
      <c r="E27" s="99"/>
      <c r="F27" s="99"/>
      <c r="G27" s="99"/>
      <c r="H27" s="99"/>
      <c r="I27" s="99"/>
      <c r="L27" s="238"/>
      <c r="M27" s="16"/>
      <c r="N27" s="16"/>
      <c r="O27" s="228"/>
    </row>
    <row r="28" spans="1:17" hidden="1" x14ac:dyDescent="0.2">
      <c r="A28" s="96" t="s">
        <v>61</v>
      </c>
      <c r="B28" s="107">
        <v>2</v>
      </c>
      <c r="C28" s="107">
        <v>3</v>
      </c>
      <c r="D28" s="108"/>
      <c r="E28" s="108"/>
      <c r="F28" s="108"/>
      <c r="G28" s="108"/>
      <c r="H28" s="108"/>
      <c r="I28" s="108"/>
      <c r="L28" s="238"/>
      <c r="M28" s="16"/>
      <c r="N28" s="16"/>
      <c r="O28" s="228"/>
    </row>
    <row r="29" spans="1:17" hidden="1" x14ac:dyDescent="0.2">
      <c r="A29" s="96" t="s">
        <v>63</v>
      </c>
      <c r="B29" s="107">
        <v>4</v>
      </c>
      <c r="C29" s="107">
        <v>5</v>
      </c>
      <c r="L29" s="238"/>
      <c r="M29" s="16"/>
      <c r="N29" s="16"/>
      <c r="O29" s="228"/>
    </row>
    <row r="30" spans="1:17" hidden="1" x14ac:dyDescent="0.2">
      <c r="A30" s="96" t="s">
        <v>72</v>
      </c>
      <c r="B30" s="107">
        <v>6</v>
      </c>
      <c r="C30" s="107">
        <v>7</v>
      </c>
      <c r="L30" s="238"/>
      <c r="M30" s="16"/>
      <c r="N30" s="16"/>
      <c r="O30" s="228"/>
    </row>
    <row r="31" spans="1:17" hidden="1" x14ac:dyDescent="0.2">
      <c r="A31" s="96" t="s">
        <v>65</v>
      </c>
      <c r="B31" s="107">
        <v>8</v>
      </c>
      <c r="C31" s="107">
        <v>9</v>
      </c>
      <c r="L31" s="238"/>
      <c r="M31" s="16"/>
      <c r="N31" s="16"/>
      <c r="O31" s="228"/>
    </row>
    <row r="32" spans="1:17" hidden="1" x14ac:dyDescent="0.2">
      <c r="B32" s="30" t="s">
        <v>61</v>
      </c>
      <c r="C32" s="30" t="s">
        <v>61</v>
      </c>
      <c r="D32" s="30" t="s">
        <v>63</v>
      </c>
      <c r="E32" s="30" t="s">
        <v>63</v>
      </c>
      <c r="F32" s="30" t="s">
        <v>64</v>
      </c>
      <c r="G32" s="30" t="s">
        <v>64</v>
      </c>
      <c r="H32" s="30" t="s">
        <v>65</v>
      </c>
      <c r="I32" s="30" t="s">
        <v>65</v>
      </c>
      <c r="J32" s="146" t="s">
        <v>63</v>
      </c>
      <c r="K32" s="30" t="s">
        <v>64</v>
      </c>
      <c r="L32" s="239" t="s">
        <v>65</v>
      </c>
      <c r="M32" s="237" t="s">
        <v>61</v>
      </c>
      <c r="N32" s="237" t="s">
        <v>65</v>
      </c>
      <c r="O32" s="240" t="s">
        <v>61</v>
      </c>
      <c r="P32" s="30" t="s">
        <v>63</v>
      </c>
      <c r="Q32" s="30" t="s">
        <v>64</v>
      </c>
    </row>
    <row r="33" spans="1:17" hidden="1" x14ac:dyDescent="0.2">
      <c r="B33" s="95" t="s">
        <v>10</v>
      </c>
      <c r="C33" s="48" t="s">
        <v>8</v>
      </c>
      <c r="D33" s="95" t="s">
        <v>10</v>
      </c>
      <c r="E33" s="48" t="s">
        <v>8</v>
      </c>
      <c r="F33" s="95" t="s">
        <v>10</v>
      </c>
      <c r="G33" s="48" t="s">
        <v>8</v>
      </c>
      <c r="H33" s="95" t="s">
        <v>10</v>
      </c>
      <c r="I33" s="48" t="s">
        <v>8</v>
      </c>
      <c r="J33" s="147" t="s">
        <v>114</v>
      </c>
      <c r="K33" s="147" t="s">
        <v>126</v>
      </c>
      <c r="L33" s="241" t="s">
        <v>125</v>
      </c>
      <c r="M33" s="236" t="s">
        <v>127</v>
      </c>
      <c r="N33" s="236" t="s">
        <v>128</v>
      </c>
      <c r="O33" s="242" t="s">
        <v>129</v>
      </c>
      <c r="P33" s="147" t="s">
        <v>130</v>
      </c>
      <c r="Q33" s="147" t="s">
        <v>131</v>
      </c>
    </row>
    <row r="34" spans="1:17" hidden="1" x14ac:dyDescent="0.2">
      <c r="A34" s="96" t="s">
        <v>93</v>
      </c>
      <c r="B34" s="100">
        <v>300</v>
      </c>
      <c r="C34" s="145">
        <v>180</v>
      </c>
      <c r="D34" s="142">
        <v>200</v>
      </c>
      <c r="E34" s="142">
        <v>115</v>
      </c>
      <c r="F34" s="144">
        <v>268</v>
      </c>
      <c r="G34" s="144">
        <v>164</v>
      </c>
      <c r="H34" s="134">
        <v>345</v>
      </c>
      <c r="I34" s="134">
        <v>208</v>
      </c>
      <c r="J34" s="148">
        <f t="shared" ref="J34:J45" si="0">C34*$B$62</f>
        <v>91.782000000000011</v>
      </c>
      <c r="K34" s="148">
        <f t="shared" ref="K34:K45" si="1">C34*$B$63</f>
        <v>122.886</v>
      </c>
      <c r="L34" s="243">
        <f t="shared" ref="L34:L45" si="2">C34*$B$64</f>
        <v>200.34</v>
      </c>
      <c r="M34" s="16">
        <f t="shared" ref="M34:M45" si="3">E34*$B$65</f>
        <v>225.4</v>
      </c>
      <c r="N34" s="16">
        <f t="shared" ref="N34:N45" si="4">E34*$B$66</f>
        <v>250.976</v>
      </c>
      <c r="O34" s="228">
        <f t="shared" ref="O34:O45" si="5">I34*$B$67</f>
        <v>186.90879999999999</v>
      </c>
      <c r="P34" s="134">
        <f t="shared" ref="P34:P45" si="6">I34*$B$68</f>
        <v>95.26400000000001</v>
      </c>
      <c r="Q34" s="134">
        <f t="shared" ref="Q34:Q45" si="7">I34*$B$69</f>
        <v>127.56639999999999</v>
      </c>
    </row>
    <row r="35" spans="1:17" hidden="1" x14ac:dyDescent="0.2">
      <c r="A35" s="96" t="s">
        <v>94</v>
      </c>
      <c r="B35" s="100">
        <v>260</v>
      </c>
      <c r="C35" s="145">
        <v>133</v>
      </c>
      <c r="D35" s="142">
        <v>175</v>
      </c>
      <c r="E35" s="142">
        <v>84</v>
      </c>
      <c r="F35" s="144">
        <v>234</v>
      </c>
      <c r="G35" s="144">
        <v>99</v>
      </c>
      <c r="H35" s="134">
        <v>315</v>
      </c>
      <c r="I35" s="134">
        <v>159</v>
      </c>
      <c r="J35" s="148">
        <f t="shared" si="0"/>
        <v>67.816699999999997</v>
      </c>
      <c r="K35" s="148">
        <f t="shared" si="1"/>
        <v>90.799099999999996</v>
      </c>
      <c r="L35" s="243">
        <f t="shared" si="2"/>
        <v>148.029</v>
      </c>
      <c r="M35" s="16">
        <f t="shared" si="3"/>
        <v>164.64</v>
      </c>
      <c r="N35" s="16">
        <f t="shared" si="4"/>
        <v>183.32159999999999</v>
      </c>
      <c r="O35" s="228">
        <f t="shared" si="5"/>
        <v>142.87739999999999</v>
      </c>
      <c r="P35" s="134">
        <f t="shared" si="6"/>
        <v>72.822000000000003</v>
      </c>
      <c r="Q35" s="134">
        <f t="shared" si="7"/>
        <v>97.514699999999991</v>
      </c>
    </row>
    <row r="36" spans="1:17" hidden="1" x14ac:dyDescent="0.2">
      <c r="A36" s="96" t="s">
        <v>95</v>
      </c>
      <c r="B36" s="100">
        <v>260</v>
      </c>
      <c r="C36" s="145">
        <v>106</v>
      </c>
      <c r="D36" s="143">
        <v>175</v>
      </c>
      <c r="E36" s="142">
        <v>77</v>
      </c>
      <c r="F36" s="144">
        <v>234</v>
      </c>
      <c r="G36" s="144">
        <v>104</v>
      </c>
      <c r="H36" s="134">
        <v>315</v>
      </c>
      <c r="I36" s="134">
        <v>99</v>
      </c>
      <c r="J36" s="148">
        <f t="shared" si="0"/>
        <v>54.049400000000006</v>
      </c>
      <c r="K36" s="148">
        <f t="shared" si="1"/>
        <v>72.366199999999992</v>
      </c>
      <c r="L36" s="243">
        <f t="shared" si="2"/>
        <v>117.97799999999999</v>
      </c>
      <c r="M36" s="16">
        <f t="shared" si="3"/>
        <v>150.91999999999999</v>
      </c>
      <c r="N36" s="16">
        <f t="shared" si="4"/>
        <v>168.04479999999998</v>
      </c>
      <c r="O36" s="228">
        <f t="shared" si="5"/>
        <v>88.961399999999998</v>
      </c>
      <c r="P36" s="134">
        <f t="shared" si="6"/>
        <v>45.341999999999999</v>
      </c>
      <c r="Q36" s="134">
        <f t="shared" si="7"/>
        <v>60.716699999999996</v>
      </c>
    </row>
    <row r="37" spans="1:17" hidden="1" x14ac:dyDescent="0.2">
      <c r="A37" s="96" t="s">
        <v>96</v>
      </c>
      <c r="B37" s="100">
        <v>225</v>
      </c>
      <c r="C37" s="145">
        <v>88</v>
      </c>
      <c r="D37" s="143">
        <v>150</v>
      </c>
      <c r="E37" s="142">
        <v>57</v>
      </c>
      <c r="F37" s="144">
        <v>201</v>
      </c>
      <c r="G37" s="144">
        <v>69</v>
      </c>
      <c r="H37" s="134">
        <v>275</v>
      </c>
      <c r="I37" s="134">
        <v>106</v>
      </c>
      <c r="J37" s="148">
        <f t="shared" si="0"/>
        <v>44.871200000000002</v>
      </c>
      <c r="K37" s="148">
        <f t="shared" si="1"/>
        <v>60.077599999999997</v>
      </c>
      <c r="L37" s="243">
        <f t="shared" si="2"/>
        <v>97.944000000000003</v>
      </c>
      <c r="M37" s="16">
        <f t="shared" si="3"/>
        <v>111.72</v>
      </c>
      <c r="N37" s="16">
        <f t="shared" si="4"/>
        <v>124.3968</v>
      </c>
      <c r="O37" s="228">
        <f t="shared" si="5"/>
        <v>95.251599999999996</v>
      </c>
      <c r="P37" s="134">
        <f t="shared" si="6"/>
        <v>48.548000000000002</v>
      </c>
      <c r="Q37" s="134">
        <f t="shared" si="7"/>
        <v>65.009799999999998</v>
      </c>
    </row>
    <row r="38" spans="1:17" hidden="1" x14ac:dyDescent="0.2">
      <c r="A38" s="96" t="s">
        <v>97</v>
      </c>
      <c r="B38" s="100">
        <v>200</v>
      </c>
      <c r="C38" s="145">
        <v>77</v>
      </c>
      <c r="D38" s="143">
        <v>125</v>
      </c>
      <c r="E38" s="142">
        <v>40</v>
      </c>
      <c r="F38" s="144">
        <v>167</v>
      </c>
      <c r="G38" s="144">
        <v>52</v>
      </c>
      <c r="H38" s="134">
        <v>205</v>
      </c>
      <c r="I38" s="134">
        <v>74</v>
      </c>
      <c r="J38" s="148">
        <f t="shared" si="0"/>
        <v>39.262300000000003</v>
      </c>
      <c r="K38" s="148">
        <f t="shared" si="1"/>
        <v>52.567899999999995</v>
      </c>
      <c r="L38" s="243">
        <f t="shared" si="2"/>
        <v>85.700999999999993</v>
      </c>
      <c r="M38" s="16">
        <f t="shared" si="3"/>
        <v>78.400000000000006</v>
      </c>
      <c r="N38" s="16">
        <f t="shared" si="4"/>
        <v>87.295999999999992</v>
      </c>
      <c r="O38" s="228">
        <f t="shared" si="5"/>
        <v>66.496399999999994</v>
      </c>
      <c r="P38" s="134">
        <f t="shared" si="6"/>
        <v>33.892000000000003</v>
      </c>
      <c r="Q38" s="134">
        <f t="shared" si="7"/>
        <v>45.3842</v>
      </c>
    </row>
    <row r="39" spans="1:17" hidden="1" x14ac:dyDescent="0.2">
      <c r="A39" s="96" t="s">
        <v>138</v>
      </c>
      <c r="B39" s="100">
        <v>0</v>
      </c>
      <c r="C39" s="145">
        <v>0</v>
      </c>
      <c r="D39" s="143">
        <v>68.75</v>
      </c>
      <c r="E39" s="142">
        <v>21</v>
      </c>
      <c r="F39" s="144">
        <v>68.75</v>
      </c>
      <c r="G39" s="144">
        <v>27</v>
      </c>
      <c r="H39" s="134">
        <v>0</v>
      </c>
      <c r="I39" s="134">
        <v>0</v>
      </c>
      <c r="J39" s="148">
        <f t="shared" si="0"/>
        <v>0</v>
      </c>
      <c r="K39" s="148">
        <f t="shared" si="1"/>
        <v>0</v>
      </c>
      <c r="L39" s="243">
        <f t="shared" si="2"/>
        <v>0</v>
      </c>
      <c r="M39" s="16">
        <f t="shared" si="3"/>
        <v>41.16</v>
      </c>
      <c r="N39" s="16">
        <f t="shared" si="4"/>
        <v>45.830399999999997</v>
      </c>
      <c r="O39" s="228">
        <f t="shared" si="5"/>
        <v>0</v>
      </c>
      <c r="P39" s="134">
        <f t="shared" si="6"/>
        <v>0</v>
      </c>
      <c r="Q39" s="134">
        <f t="shared" si="7"/>
        <v>0</v>
      </c>
    </row>
    <row r="40" spans="1:17" hidden="1" x14ac:dyDescent="0.2">
      <c r="A40" s="96" t="s">
        <v>98</v>
      </c>
      <c r="B40" s="100">
        <v>260</v>
      </c>
      <c r="C40" s="145">
        <v>106</v>
      </c>
      <c r="D40" s="143">
        <v>175</v>
      </c>
      <c r="E40" s="142">
        <v>77</v>
      </c>
      <c r="F40" s="144">
        <v>234</v>
      </c>
      <c r="G40" s="144">
        <v>104</v>
      </c>
      <c r="H40" s="134">
        <v>315</v>
      </c>
      <c r="I40" s="134">
        <v>99</v>
      </c>
      <c r="J40" s="148">
        <f t="shared" si="0"/>
        <v>54.049400000000006</v>
      </c>
      <c r="K40" s="148">
        <f t="shared" si="1"/>
        <v>72.366199999999992</v>
      </c>
      <c r="L40" s="243">
        <f t="shared" si="2"/>
        <v>117.97799999999999</v>
      </c>
      <c r="M40" s="16">
        <f t="shared" si="3"/>
        <v>150.91999999999999</v>
      </c>
      <c r="N40" s="16">
        <f t="shared" si="4"/>
        <v>168.04479999999998</v>
      </c>
      <c r="O40" s="228">
        <f t="shared" si="5"/>
        <v>88.961399999999998</v>
      </c>
      <c r="P40" s="134">
        <f t="shared" si="6"/>
        <v>45.341999999999999</v>
      </c>
      <c r="Q40" s="134">
        <f t="shared" si="7"/>
        <v>60.716699999999996</v>
      </c>
    </row>
    <row r="41" spans="1:17" hidden="1" x14ac:dyDescent="0.2">
      <c r="A41" s="96" t="s">
        <v>99</v>
      </c>
      <c r="B41" s="100">
        <v>225</v>
      </c>
      <c r="C41" s="145">
        <v>88</v>
      </c>
      <c r="D41" s="143">
        <v>150</v>
      </c>
      <c r="E41" s="142">
        <v>57</v>
      </c>
      <c r="F41" s="144">
        <v>201</v>
      </c>
      <c r="G41" s="144">
        <v>69</v>
      </c>
      <c r="H41" s="134">
        <v>275</v>
      </c>
      <c r="I41" s="134">
        <v>106</v>
      </c>
      <c r="J41" s="148">
        <f t="shared" si="0"/>
        <v>44.871200000000002</v>
      </c>
      <c r="K41" s="148">
        <f t="shared" si="1"/>
        <v>60.077599999999997</v>
      </c>
      <c r="L41" s="243">
        <f t="shared" si="2"/>
        <v>97.944000000000003</v>
      </c>
      <c r="M41" s="16">
        <f t="shared" si="3"/>
        <v>111.72</v>
      </c>
      <c r="N41" s="16">
        <f t="shared" si="4"/>
        <v>124.3968</v>
      </c>
      <c r="O41" s="228">
        <f t="shared" si="5"/>
        <v>95.251599999999996</v>
      </c>
      <c r="P41" s="134">
        <f t="shared" si="6"/>
        <v>48.548000000000002</v>
      </c>
      <c r="Q41" s="134">
        <f t="shared" si="7"/>
        <v>65.009799999999998</v>
      </c>
    </row>
    <row r="42" spans="1:17" hidden="1" x14ac:dyDescent="0.2">
      <c r="A42" s="96" t="s">
        <v>100</v>
      </c>
      <c r="B42" s="100">
        <v>200</v>
      </c>
      <c r="C42" s="145">
        <v>77</v>
      </c>
      <c r="D42" s="143">
        <v>125</v>
      </c>
      <c r="E42" s="142">
        <v>40</v>
      </c>
      <c r="F42" s="144">
        <v>167</v>
      </c>
      <c r="G42" s="144">
        <v>52</v>
      </c>
      <c r="H42" s="134">
        <v>205</v>
      </c>
      <c r="I42" s="134">
        <v>74</v>
      </c>
      <c r="J42" s="148">
        <f t="shared" si="0"/>
        <v>39.262300000000003</v>
      </c>
      <c r="K42" s="148">
        <f t="shared" si="1"/>
        <v>52.567899999999995</v>
      </c>
      <c r="L42" s="243">
        <f t="shared" si="2"/>
        <v>85.700999999999993</v>
      </c>
      <c r="M42" s="16">
        <f t="shared" si="3"/>
        <v>78.400000000000006</v>
      </c>
      <c r="N42" s="16">
        <f t="shared" si="4"/>
        <v>87.295999999999992</v>
      </c>
      <c r="O42" s="228">
        <f t="shared" si="5"/>
        <v>66.496399999999994</v>
      </c>
      <c r="P42" s="134">
        <f t="shared" si="6"/>
        <v>33.892000000000003</v>
      </c>
      <c r="Q42" s="134">
        <f t="shared" si="7"/>
        <v>45.3842</v>
      </c>
    </row>
    <row r="43" spans="1:17" hidden="1" x14ac:dyDescent="0.2">
      <c r="A43" s="96" t="s">
        <v>137</v>
      </c>
      <c r="B43" s="100">
        <v>260</v>
      </c>
      <c r="C43" s="145">
        <v>106</v>
      </c>
      <c r="D43" s="143">
        <v>175</v>
      </c>
      <c r="E43" s="142">
        <v>77</v>
      </c>
      <c r="F43" s="144">
        <v>234</v>
      </c>
      <c r="G43" s="144">
        <v>104</v>
      </c>
      <c r="H43" s="134">
        <v>315</v>
      </c>
      <c r="I43" s="134">
        <v>99</v>
      </c>
      <c r="J43" s="148">
        <f>C43*$B$62</f>
        <v>54.049400000000006</v>
      </c>
      <c r="K43" s="148">
        <f>C43*$B$63</f>
        <v>72.366199999999992</v>
      </c>
      <c r="L43" s="243">
        <f>C43*$B$64</f>
        <v>117.97799999999999</v>
      </c>
      <c r="M43" s="16">
        <f>E43*$B$65</f>
        <v>150.91999999999999</v>
      </c>
      <c r="N43" s="16">
        <f>E43*$B$66</f>
        <v>168.04479999999998</v>
      </c>
      <c r="O43" s="228">
        <f>I43*$B$67</f>
        <v>88.961399999999998</v>
      </c>
      <c r="P43" s="134">
        <f>I43*$B$68</f>
        <v>45.341999999999999</v>
      </c>
      <c r="Q43" s="134">
        <f>I43*$B$69</f>
        <v>60.716699999999996</v>
      </c>
    </row>
    <row r="44" spans="1:17" hidden="1" x14ac:dyDescent="0.2">
      <c r="A44" s="96" t="s">
        <v>68</v>
      </c>
      <c r="B44" s="100">
        <v>53</v>
      </c>
      <c r="C44" s="145">
        <v>24</v>
      </c>
      <c r="D44" s="143">
        <v>35</v>
      </c>
      <c r="E44" s="142">
        <v>14</v>
      </c>
      <c r="F44" s="144">
        <v>43</v>
      </c>
      <c r="G44" s="144">
        <v>20</v>
      </c>
      <c r="H44" s="134">
        <v>68</v>
      </c>
      <c r="I44" s="134">
        <v>23</v>
      </c>
      <c r="J44" s="148">
        <f t="shared" si="0"/>
        <v>12.2376</v>
      </c>
      <c r="K44" s="148">
        <f t="shared" si="1"/>
        <v>16.384799999999998</v>
      </c>
      <c r="L44" s="243">
        <f t="shared" si="2"/>
        <v>26.712</v>
      </c>
      <c r="M44" s="16">
        <f t="shared" si="3"/>
        <v>27.439999999999998</v>
      </c>
      <c r="N44" s="16">
        <f t="shared" si="4"/>
        <v>30.553599999999999</v>
      </c>
      <c r="O44" s="228">
        <f t="shared" si="5"/>
        <v>20.6678</v>
      </c>
      <c r="P44" s="134">
        <f t="shared" si="6"/>
        <v>10.534000000000001</v>
      </c>
      <c r="Q44" s="134">
        <f t="shared" si="7"/>
        <v>14.105899999999998</v>
      </c>
    </row>
    <row r="45" spans="1:17" hidden="1" x14ac:dyDescent="0.2">
      <c r="A45" s="96" t="s">
        <v>69</v>
      </c>
      <c r="B45" s="103">
        <v>63</v>
      </c>
      <c r="C45" s="149">
        <v>28</v>
      </c>
      <c r="D45" s="143">
        <v>43</v>
      </c>
      <c r="E45" s="142">
        <v>16</v>
      </c>
      <c r="F45" s="144">
        <v>53</v>
      </c>
      <c r="G45" s="144">
        <v>23</v>
      </c>
      <c r="H45" s="134">
        <v>78</v>
      </c>
      <c r="I45" s="134">
        <v>37</v>
      </c>
      <c r="J45" s="148">
        <f t="shared" si="0"/>
        <v>14.277200000000001</v>
      </c>
      <c r="K45" s="148">
        <f t="shared" si="1"/>
        <v>19.115600000000001</v>
      </c>
      <c r="L45" s="243">
        <f t="shared" si="2"/>
        <v>31.164000000000001</v>
      </c>
      <c r="M45" s="16">
        <f t="shared" si="3"/>
        <v>31.36</v>
      </c>
      <c r="N45" s="16">
        <f t="shared" si="4"/>
        <v>34.918399999999998</v>
      </c>
      <c r="O45" s="228">
        <f t="shared" si="5"/>
        <v>33.248199999999997</v>
      </c>
      <c r="P45" s="134">
        <f t="shared" si="6"/>
        <v>16.946000000000002</v>
      </c>
      <c r="Q45" s="134">
        <f t="shared" si="7"/>
        <v>22.6921</v>
      </c>
    </row>
    <row r="46" spans="1:17" hidden="1" x14ac:dyDescent="0.2">
      <c r="B46" s="100"/>
      <c r="L46" s="238"/>
      <c r="M46" s="16"/>
      <c r="N46" s="16"/>
      <c r="O46" s="228"/>
    </row>
    <row r="47" spans="1:17" hidden="1" x14ac:dyDescent="0.2">
      <c r="B47" s="100"/>
      <c r="L47" s="238"/>
      <c r="M47" s="16"/>
      <c r="N47" s="16"/>
      <c r="O47" s="228"/>
    </row>
    <row r="48" spans="1:17" hidden="1" x14ac:dyDescent="0.2">
      <c r="A48" s="96" t="s">
        <v>101</v>
      </c>
      <c r="C48" t="s">
        <v>91</v>
      </c>
      <c r="D48" t="s">
        <v>8</v>
      </c>
      <c r="L48" s="238"/>
      <c r="M48" s="16"/>
      <c r="N48" s="16"/>
      <c r="O48" s="228"/>
    </row>
    <row r="49" spans="1:15" hidden="1" x14ac:dyDescent="0.2">
      <c r="A49" s="96" t="s">
        <v>102</v>
      </c>
      <c r="B49">
        <v>3</v>
      </c>
      <c r="C49" t="s">
        <v>132</v>
      </c>
      <c r="D49" t="s">
        <v>61</v>
      </c>
      <c r="L49" s="238"/>
      <c r="M49" s="16"/>
      <c r="N49" s="16"/>
      <c r="O49" s="228"/>
    </row>
    <row r="50" spans="1:15" ht="13.5" hidden="1" thickBot="1" x14ac:dyDescent="0.25">
      <c r="A50" s="2" t="s">
        <v>103</v>
      </c>
      <c r="B50">
        <v>10</v>
      </c>
      <c r="C50" t="s">
        <v>132</v>
      </c>
      <c r="D50" t="s">
        <v>63</v>
      </c>
      <c r="K50" s="223" t="s">
        <v>179</v>
      </c>
      <c r="L50" s="72">
        <v>0</v>
      </c>
      <c r="M50" s="73">
        <v>0</v>
      </c>
      <c r="N50" s="74">
        <v>0</v>
      </c>
      <c r="O50" s="111">
        <v>0</v>
      </c>
    </row>
    <row r="51" spans="1:15" x14ac:dyDescent="0.2">
      <c r="A51" s="2" t="s">
        <v>104</v>
      </c>
      <c r="B51">
        <v>11</v>
      </c>
      <c r="C51" t="s">
        <v>132</v>
      </c>
      <c r="D51" t="s">
        <v>135</v>
      </c>
    </row>
    <row r="52" spans="1:15" x14ac:dyDescent="0.2">
      <c r="A52" s="2" t="s">
        <v>105</v>
      </c>
      <c r="B52">
        <v>12</v>
      </c>
      <c r="C52" t="s">
        <v>132</v>
      </c>
      <c r="D52" t="s">
        <v>65</v>
      </c>
    </row>
    <row r="53" spans="1:15" x14ac:dyDescent="0.2">
      <c r="A53" s="2" t="s">
        <v>106</v>
      </c>
      <c r="B53">
        <v>13</v>
      </c>
      <c r="C53" t="s">
        <v>133</v>
      </c>
      <c r="D53" t="s">
        <v>61</v>
      </c>
    </row>
    <row r="54" spans="1:15" x14ac:dyDescent="0.2">
      <c r="A54" s="2" t="s">
        <v>107</v>
      </c>
      <c r="B54">
        <v>5</v>
      </c>
      <c r="C54" t="s">
        <v>133</v>
      </c>
      <c r="D54" t="s">
        <v>63</v>
      </c>
    </row>
    <row r="55" spans="1:15" x14ac:dyDescent="0.2">
      <c r="A55" s="2" t="s">
        <v>108</v>
      </c>
      <c r="B55">
        <v>7</v>
      </c>
      <c r="C55" t="s">
        <v>133</v>
      </c>
      <c r="D55" t="s">
        <v>135</v>
      </c>
    </row>
    <row r="56" spans="1:15" x14ac:dyDescent="0.2">
      <c r="A56" s="2" t="s">
        <v>109</v>
      </c>
      <c r="B56">
        <v>14</v>
      </c>
      <c r="C56" t="s">
        <v>133</v>
      </c>
      <c r="D56" t="s">
        <v>65</v>
      </c>
    </row>
    <row r="57" spans="1:15" x14ac:dyDescent="0.2">
      <c r="A57" s="2" t="s">
        <v>110</v>
      </c>
      <c r="B57">
        <v>15</v>
      </c>
      <c r="C57" t="s">
        <v>134</v>
      </c>
      <c r="D57" t="s">
        <v>61</v>
      </c>
    </row>
    <row r="58" spans="1:15" x14ac:dyDescent="0.2">
      <c r="A58" s="2" t="s">
        <v>111</v>
      </c>
      <c r="B58">
        <v>16</v>
      </c>
      <c r="C58" t="s">
        <v>134</v>
      </c>
      <c r="D58" t="s">
        <v>63</v>
      </c>
    </row>
    <row r="59" spans="1:15" x14ac:dyDescent="0.2">
      <c r="A59" s="2" t="s">
        <v>112</v>
      </c>
      <c r="B59">
        <v>17</v>
      </c>
      <c r="C59" t="s">
        <v>134</v>
      </c>
      <c r="D59" t="s">
        <v>135</v>
      </c>
    </row>
    <row r="60" spans="1:15" x14ac:dyDescent="0.2">
      <c r="A60" s="2" t="s">
        <v>113</v>
      </c>
      <c r="B60">
        <v>9</v>
      </c>
      <c r="C60" t="s">
        <v>134</v>
      </c>
      <c r="D60" t="s">
        <v>65</v>
      </c>
    </row>
    <row r="61" spans="1:15" x14ac:dyDescent="0.2">
      <c r="A61" s="2"/>
    </row>
    <row r="62" spans="1:15" x14ac:dyDescent="0.2">
      <c r="A62" s="2" t="s">
        <v>115</v>
      </c>
      <c r="B62">
        <v>0.50990000000000002</v>
      </c>
    </row>
    <row r="63" spans="1:15" x14ac:dyDescent="0.2">
      <c r="A63" s="2" t="s">
        <v>116</v>
      </c>
      <c r="B63">
        <v>0.68269999999999997</v>
      </c>
    </row>
    <row r="64" spans="1:15" x14ac:dyDescent="0.2">
      <c r="A64" s="2" t="s">
        <v>117</v>
      </c>
      <c r="B64">
        <v>1.113</v>
      </c>
    </row>
    <row r="65" spans="1:17" x14ac:dyDescent="0.2">
      <c r="A65" s="2" t="s">
        <v>118</v>
      </c>
      <c r="B65">
        <v>1.96</v>
      </c>
    </row>
    <row r="66" spans="1:17" x14ac:dyDescent="0.2">
      <c r="A66" s="2" t="s">
        <v>119</v>
      </c>
      <c r="B66">
        <v>2.1823999999999999</v>
      </c>
    </row>
    <row r="67" spans="1:17" x14ac:dyDescent="0.2">
      <c r="A67" s="2" t="s">
        <v>122</v>
      </c>
      <c r="B67">
        <v>0.89859999999999995</v>
      </c>
    </row>
    <row r="68" spans="1:17" x14ac:dyDescent="0.2">
      <c r="A68" s="2" t="s">
        <v>120</v>
      </c>
      <c r="B68">
        <v>0.45800000000000002</v>
      </c>
    </row>
    <row r="69" spans="1:17" x14ac:dyDescent="0.2">
      <c r="A69" s="2" t="s">
        <v>121</v>
      </c>
      <c r="B69">
        <v>0.61329999999999996</v>
      </c>
    </row>
    <row r="70" spans="1:17" x14ac:dyDescent="0.2">
      <c r="A70" s="2" t="s">
        <v>122</v>
      </c>
      <c r="B70">
        <v>0.89859999999999995</v>
      </c>
    </row>
    <row r="71" spans="1:17" x14ac:dyDescent="0.2">
      <c r="A71" s="2" t="s">
        <v>123</v>
      </c>
      <c r="B71">
        <v>1.4646999999999999</v>
      </c>
    </row>
    <row r="72" spans="1:17" x14ac:dyDescent="0.2">
      <c r="A72" s="2" t="s">
        <v>124</v>
      </c>
      <c r="B72">
        <v>1.63</v>
      </c>
    </row>
    <row r="74" spans="1:17" x14ac:dyDescent="0.2">
      <c r="B74">
        <v>2</v>
      </c>
      <c r="C74">
        <v>3</v>
      </c>
      <c r="D74">
        <v>4</v>
      </c>
      <c r="E74">
        <v>5</v>
      </c>
      <c r="F74">
        <v>6</v>
      </c>
      <c r="G74">
        <v>7</v>
      </c>
      <c r="H74">
        <v>8</v>
      </c>
      <c r="I74">
        <v>9</v>
      </c>
      <c r="J74" s="29">
        <v>10</v>
      </c>
      <c r="K74" s="29">
        <v>11</v>
      </c>
      <c r="L74" s="29">
        <v>12</v>
      </c>
      <c r="M74" s="29">
        <v>13</v>
      </c>
      <c r="N74" s="29">
        <v>14</v>
      </c>
      <c r="O74" s="29">
        <v>15</v>
      </c>
      <c r="P74" s="29">
        <v>16</v>
      </c>
      <c r="Q74" s="29">
        <v>17</v>
      </c>
    </row>
  </sheetData>
  <sheetProtection password="D841" sheet="1" objects="1" scenarios="1"/>
  <mergeCells count="1">
    <mergeCell ref="L1:M1"/>
  </mergeCells>
  <phoneticPr fontId="7" type="noConversion"/>
  <dataValidations count="1">
    <dataValidation type="decimal" allowBlank="1" showInputMessage="1" showErrorMessage="1" sqref="O3:O10 O50" xr:uid="{00000000-0002-0000-0900-000000000000}">
      <formula1>0</formula1>
      <formula2>9</formula2>
    </dataValidation>
  </dataValidations>
  <pageMargins left="0.75" right="0.75" top="1" bottom="1" header="0.5" footer="0.5"/>
  <pageSetup orientation="landscape" r:id="rId1"/>
  <headerFooter alignWithMargins="0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0">
    <pageSetUpPr fitToPage="1"/>
  </sheetPr>
  <dimension ref="A1:O38"/>
  <sheetViews>
    <sheetView workbookViewId="0">
      <selection activeCell="L12" sqref="L12"/>
    </sheetView>
  </sheetViews>
  <sheetFormatPr defaultRowHeight="12.75" x14ac:dyDescent="0.2"/>
  <cols>
    <col min="1" max="1" width="25.83203125" customWidth="1"/>
    <col min="2" max="2" width="10.33203125" customWidth="1"/>
    <col min="3" max="9" width="11.5" customWidth="1"/>
    <col min="10" max="10" width="15.1640625" style="29" customWidth="1"/>
    <col min="11" max="11" width="19.5" bestFit="1" customWidth="1"/>
    <col min="12" max="12" width="13.1640625" customWidth="1"/>
    <col min="14" max="14" width="12.6640625" bestFit="1" customWidth="1"/>
  </cols>
  <sheetData>
    <row r="1" spans="1:15" x14ac:dyDescent="0.2">
      <c r="A1" s="486" t="s">
        <v>180</v>
      </c>
      <c r="B1" s="486"/>
      <c r="C1" s="486"/>
      <c r="D1" s="486"/>
      <c r="E1" s="486"/>
      <c r="F1" s="486"/>
      <c r="G1" s="486"/>
      <c r="H1" s="486"/>
      <c r="I1" s="486"/>
      <c r="L1" s="1" t="s">
        <v>1</v>
      </c>
      <c r="N1" s="1" t="s">
        <v>18</v>
      </c>
    </row>
    <row r="2" spans="1:15" ht="13.5" thickBot="1" x14ac:dyDescent="0.25">
      <c r="A2" s="1"/>
      <c r="B2" s="30" t="s">
        <v>61</v>
      </c>
      <c r="C2" s="30" t="s">
        <v>61</v>
      </c>
      <c r="D2" s="30" t="s">
        <v>63</v>
      </c>
      <c r="E2" s="30" t="s">
        <v>63</v>
      </c>
      <c r="F2" s="30" t="s">
        <v>64</v>
      </c>
      <c r="G2" s="30" t="s">
        <v>64</v>
      </c>
      <c r="H2" s="30" t="s">
        <v>65</v>
      </c>
      <c r="I2" s="30" t="s">
        <v>65</v>
      </c>
      <c r="J2" s="28"/>
      <c r="L2" t="s">
        <v>14</v>
      </c>
      <c r="M2" t="s">
        <v>15</v>
      </c>
      <c r="N2" t="s">
        <v>14</v>
      </c>
      <c r="O2" t="s">
        <v>15</v>
      </c>
    </row>
    <row r="3" spans="1:15" x14ac:dyDescent="0.2">
      <c r="A3" s="46" t="s">
        <v>9</v>
      </c>
      <c r="B3" s="95" t="s">
        <v>10</v>
      </c>
      <c r="C3" s="48" t="s">
        <v>8</v>
      </c>
      <c r="D3" s="47" t="s">
        <v>10</v>
      </c>
      <c r="E3" s="48" t="s">
        <v>8</v>
      </c>
      <c r="F3" s="47" t="s">
        <v>10</v>
      </c>
      <c r="G3" s="48" t="s">
        <v>8</v>
      </c>
      <c r="H3" s="47" t="s">
        <v>10</v>
      </c>
      <c r="I3" s="48" t="s">
        <v>8</v>
      </c>
      <c r="J3" s="99"/>
      <c r="K3" t="s">
        <v>73</v>
      </c>
      <c r="L3" s="68">
        <v>0.125</v>
      </c>
      <c r="M3" s="69">
        <v>0.05</v>
      </c>
      <c r="N3" s="70">
        <v>0.125</v>
      </c>
      <c r="O3" s="109">
        <v>0</v>
      </c>
    </row>
    <row r="4" spans="1:15" x14ac:dyDescent="0.2">
      <c r="A4" s="60" t="s">
        <v>34</v>
      </c>
      <c r="B4" s="100">
        <v>300</v>
      </c>
      <c r="C4" s="101">
        <v>161</v>
      </c>
      <c r="D4" s="102">
        <v>180</v>
      </c>
      <c r="E4" s="101">
        <f>C4*$B$35</f>
        <v>83.72</v>
      </c>
      <c r="F4" s="102">
        <v>260</v>
      </c>
      <c r="G4" s="101">
        <f t="shared" ref="G4:G21" si="0">E4*$B$38</f>
        <v>127.2544</v>
      </c>
      <c r="H4" s="102">
        <v>345</v>
      </c>
      <c r="I4" s="101">
        <f>C4*$B$36</f>
        <v>207.69</v>
      </c>
      <c r="J4" s="99"/>
      <c r="K4" t="s">
        <v>74</v>
      </c>
      <c r="L4" s="71">
        <v>0.125</v>
      </c>
      <c r="M4" s="16">
        <v>0.1</v>
      </c>
      <c r="N4" s="19">
        <v>0.125</v>
      </c>
      <c r="O4" s="110">
        <v>0</v>
      </c>
    </row>
    <row r="5" spans="1:15" x14ac:dyDescent="0.2">
      <c r="A5" s="60" t="s">
        <v>35</v>
      </c>
      <c r="B5" s="100">
        <v>300</v>
      </c>
      <c r="C5" s="101">
        <f>E5*$C$35</f>
        <v>184.29999999999998</v>
      </c>
      <c r="D5" s="102">
        <v>180</v>
      </c>
      <c r="E5" s="101">
        <v>97</v>
      </c>
      <c r="F5" s="102">
        <v>260</v>
      </c>
      <c r="G5" s="101">
        <f t="shared" si="0"/>
        <v>147.44</v>
      </c>
      <c r="H5" s="102">
        <v>345</v>
      </c>
      <c r="I5" s="101">
        <f>E5*$B$37</f>
        <v>245.40999999999997</v>
      </c>
      <c r="J5" s="99"/>
      <c r="K5" t="s">
        <v>75</v>
      </c>
      <c r="L5" s="71">
        <v>0.125</v>
      </c>
      <c r="M5" s="16">
        <v>0.15</v>
      </c>
      <c r="N5" s="19">
        <v>0.125</v>
      </c>
      <c r="O5" s="110">
        <v>0</v>
      </c>
    </row>
    <row r="6" spans="1:15" x14ac:dyDescent="0.2">
      <c r="A6" s="60" t="s">
        <v>36</v>
      </c>
      <c r="B6" s="100">
        <v>300</v>
      </c>
      <c r="C6" s="101">
        <f>I6*$C$36</f>
        <v>139.46994000000001</v>
      </c>
      <c r="D6" s="102">
        <v>180</v>
      </c>
      <c r="E6" s="101">
        <f>I6*$C$37</f>
        <v>70.2</v>
      </c>
      <c r="F6" s="102">
        <v>260</v>
      </c>
      <c r="G6" s="101">
        <f t="shared" si="0"/>
        <v>106.70400000000001</v>
      </c>
      <c r="H6" s="102">
        <v>345</v>
      </c>
      <c r="I6" s="101">
        <v>180</v>
      </c>
      <c r="J6" s="99"/>
      <c r="K6" t="s">
        <v>76</v>
      </c>
      <c r="L6" s="71">
        <v>0.125</v>
      </c>
      <c r="M6" s="16">
        <v>0.25</v>
      </c>
      <c r="N6" s="19">
        <v>0.125</v>
      </c>
      <c r="O6" s="110">
        <v>0</v>
      </c>
    </row>
    <row r="7" spans="1:15" ht="13.5" thickBot="1" x14ac:dyDescent="0.25">
      <c r="A7" s="60" t="s">
        <v>37</v>
      </c>
      <c r="B7" s="100">
        <v>260</v>
      </c>
      <c r="C7" s="101">
        <v>123</v>
      </c>
      <c r="D7" s="102">
        <v>160</v>
      </c>
      <c r="E7" s="101">
        <f>C7*$B$35</f>
        <v>63.96</v>
      </c>
      <c r="F7" s="102">
        <v>235</v>
      </c>
      <c r="G7" s="101">
        <f t="shared" si="0"/>
        <v>97.219200000000001</v>
      </c>
      <c r="H7" s="102">
        <v>315</v>
      </c>
      <c r="I7" s="101">
        <f>C7*$B$36</f>
        <v>158.67000000000002</v>
      </c>
      <c r="J7" s="99"/>
      <c r="K7" t="s">
        <v>19</v>
      </c>
      <c r="L7" s="72">
        <v>0</v>
      </c>
      <c r="M7" s="73">
        <v>0</v>
      </c>
      <c r="N7" s="74">
        <v>0</v>
      </c>
      <c r="O7" s="111">
        <v>0</v>
      </c>
    </row>
    <row r="8" spans="1:15" x14ac:dyDescent="0.2">
      <c r="A8" s="60" t="s">
        <v>38</v>
      </c>
      <c r="B8" s="100">
        <v>260</v>
      </c>
      <c r="C8" s="101">
        <f>E8*$C$35</f>
        <v>131.1</v>
      </c>
      <c r="D8" s="102">
        <v>160</v>
      </c>
      <c r="E8" s="101">
        <v>69</v>
      </c>
      <c r="F8" s="102">
        <v>235</v>
      </c>
      <c r="G8" s="101">
        <f t="shared" si="0"/>
        <v>104.88</v>
      </c>
      <c r="H8" s="102">
        <v>315</v>
      </c>
      <c r="I8" s="101">
        <f>E8*$B$37</f>
        <v>174.57</v>
      </c>
      <c r="J8" s="99"/>
      <c r="L8" s="487" t="s">
        <v>181</v>
      </c>
      <c r="M8" s="487"/>
      <c r="N8" s="487"/>
      <c r="O8" s="487"/>
    </row>
    <row r="9" spans="1:15" x14ac:dyDescent="0.2">
      <c r="A9" s="60" t="s">
        <v>39</v>
      </c>
      <c r="B9" s="100">
        <v>260</v>
      </c>
      <c r="C9" s="101">
        <f>I9*$C$36</f>
        <v>115.45011700000001</v>
      </c>
      <c r="D9" s="102">
        <v>160</v>
      </c>
      <c r="E9" s="101">
        <f>I9*$C$37</f>
        <v>58.11</v>
      </c>
      <c r="F9" s="102">
        <v>235</v>
      </c>
      <c r="G9" s="101">
        <f t="shared" si="0"/>
        <v>88.327200000000005</v>
      </c>
      <c r="H9" s="102">
        <v>315</v>
      </c>
      <c r="I9" s="101">
        <v>149</v>
      </c>
      <c r="J9" s="99"/>
      <c r="L9" s="29"/>
      <c r="M9" s="29"/>
    </row>
    <row r="10" spans="1:15" x14ac:dyDescent="0.2">
      <c r="A10" s="60" t="s">
        <v>40</v>
      </c>
      <c r="B10" s="100">
        <v>300</v>
      </c>
      <c r="C10" s="101">
        <v>161</v>
      </c>
      <c r="D10" s="102">
        <v>180</v>
      </c>
      <c r="E10" s="101">
        <f>C10*$B$35</f>
        <v>83.72</v>
      </c>
      <c r="F10" s="102">
        <v>260</v>
      </c>
      <c r="G10" s="101">
        <f t="shared" si="0"/>
        <v>127.2544</v>
      </c>
      <c r="H10" s="102">
        <v>345</v>
      </c>
      <c r="I10" s="101">
        <f>C10*$B$36</f>
        <v>207.69</v>
      </c>
      <c r="J10" s="99"/>
    </row>
    <row r="11" spans="1:15" x14ac:dyDescent="0.2">
      <c r="A11" s="60" t="s">
        <v>41</v>
      </c>
      <c r="B11" s="100">
        <v>300</v>
      </c>
      <c r="C11" s="101">
        <f>E11*$C$35</f>
        <v>131.1</v>
      </c>
      <c r="D11" s="102">
        <v>180</v>
      </c>
      <c r="E11" s="101">
        <v>69</v>
      </c>
      <c r="F11" s="102">
        <v>260</v>
      </c>
      <c r="G11" s="101">
        <f t="shared" si="0"/>
        <v>104.88</v>
      </c>
      <c r="H11" s="102">
        <v>345</v>
      </c>
      <c r="I11" s="101">
        <f>E11*$B$37</f>
        <v>174.57</v>
      </c>
      <c r="J11" s="99"/>
    </row>
    <row r="12" spans="1:15" x14ac:dyDescent="0.2">
      <c r="A12" s="60" t="s">
        <v>42</v>
      </c>
      <c r="B12" s="100">
        <v>300</v>
      </c>
      <c r="C12" s="101">
        <f>I12*$C$36</f>
        <v>115.45011700000001</v>
      </c>
      <c r="D12" s="102">
        <v>180</v>
      </c>
      <c r="E12" s="101">
        <f>I12*$C$37</f>
        <v>58.11</v>
      </c>
      <c r="F12" s="102">
        <v>260</v>
      </c>
      <c r="G12" s="101">
        <f t="shared" si="0"/>
        <v>88.327200000000005</v>
      </c>
      <c r="H12" s="102">
        <v>345</v>
      </c>
      <c r="I12" s="101">
        <v>149</v>
      </c>
      <c r="J12" s="131"/>
      <c r="K12" s="132"/>
    </row>
    <row r="13" spans="1:15" x14ac:dyDescent="0.2">
      <c r="A13" s="60" t="s">
        <v>43</v>
      </c>
      <c r="B13" s="100">
        <v>260</v>
      </c>
      <c r="C13" s="101">
        <v>130</v>
      </c>
      <c r="D13" s="102">
        <v>160</v>
      </c>
      <c r="E13" s="101">
        <f>C13*$B$35</f>
        <v>67.600000000000009</v>
      </c>
      <c r="F13" s="102">
        <v>235</v>
      </c>
      <c r="G13" s="101">
        <f t="shared" si="0"/>
        <v>102.75200000000001</v>
      </c>
      <c r="H13" s="102">
        <v>315</v>
      </c>
      <c r="I13" s="101">
        <f>C13*$B$36</f>
        <v>167.70000000000002</v>
      </c>
      <c r="J13" s="131"/>
      <c r="K13" s="132"/>
    </row>
    <row r="14" spans="1:15" x14ac:dyDescent="0.2">
      <c r="A14" s="60" t="s">
        <v>44</v>
      </c>
      <c r="B14" s="100">
        <v>260</v>
      </c>
      <c r="C14" s="101">
        <f>E14*$C$35</f>
        <v>152</v>
      </c>
      <c r="D14" s="102">
        <v>160</v>
      </c>
      <c r="E14" s="101">
        <v>80</v>
      </c>
      <c r="F14" s="102">
        <v>235</v>
      </c>
      <c r="G14" s="101">
        <f t="shared" si="0"/>
        <v>121.6</v>
      </c>
      <c r="H14" s="102">
        <v>315</v>
      </c>
      <c r="I14" s="101">
        <f>E14*$B$37</f>
        <v>202.39999999999998</v>
      </c>
      <c r="K14" s="102"/>
    </row>
    <row r="15" spans="1:15" x14ac:dyDescent="0.2">
      <c r="A15" s="60" t="s">
        <v>45</v>
      </c>
      <c r="B15" s="100">
        <v>260</v>
      </c>
      <c r="C15" s="101">
        <f>I15*$C$36</f>
        <v>115.45011700000001</v>
      </c>
      <c r="D15" s="102">
        <v>160</v>
      </c>
      <c r="E15" s="101">
        <f>I15*$C$37</f>
        <v>58.11</v>
      </c>
      <c r="F15" s="102">
        <v>235</v>
      </c>
      <c r="G15" s="101">
        <f t="shared" si="0"/>
        <v>88.327200000000005</v>
      </c>
      <c r="H15" s="102">
        <v>315</v>
      </c>
      <c r="I15" s="101">
        <v>149</v>
      </c>
    </row>
    <row r="16" spans="1:15" x14ac:dyDescent="0.2">
      <c r="A16" s="60" t="s">
        <v>46</v>
      </c>
      <c r="B16" s="100">
        <v>225</v>
      </c>
      <c r="C16" s="101">
        <v>91</v>
      </c>
      <c r="D16" s="102">
        <v>140</v>
      </c>
      <c r="E16" s="101">
        <f>C16*$B$35</f>
        <v>47.32</v>
      </c>
      <c r="F16" s="102">
        <v>205</v>
      </c>
      <c r="G16" s="101">
        <f t="shared" si="0"/>
        <v>71.926400000000001</v>
      </c>
      <c r="H16" s="102">
        <v>275</v>
      </c>
      <c r="I16" s="101">
        <f>C16*$B$36</f>
        <v>117.39</v>
      </c>
    </row>
    <row r="17" spans="1:9" x14ac:dyDescent="0.2">
      <c r="A17" s="60" t="s">
        <v>47</v>
      </c>
      <c r="B17" s="100">
        <v>225</v>
      </c>
      <c r="C17" s="101">
        <f>E17*$C$35</f>
        <v>98.8</v>
      </c>
      <c r="D17" s="102">
        <v>140</v>
      </c>
      <c r="E17" s="101">
        <v>52</v>
      </c>
      <c r="F17" s="102">
        <v>205</v>
      </c>
      <c r="G17" s="101">
        <f t="shared" si="0"/>
        <v>79.040000000000006</v>
      </c>
      <c r="H17" s="102">
        <v>275</v>
      </c>
      <c r="I17" s="101">
        <f>E17*$B$37</f>
        <v>131.56</v>
      </c>
    </row>
    <row r="18" spans="1:9" x14ac:dyDescent="0.2">
      <c r="A18" s="60" t="s">
        <v>48</v>
      </c>
      <c r="B18" s="100">
        <v>225</v>
      </c>
      <c r="C18" s="101">
        <f>I18*$C$36</f>
        <v>82.907130999999993</v>
      </c>
      <c r="D18" s="102">
        <v>140</v>
      </c>
      <c r="E18" s="101">
        <f>I18*$C$37</f>
        <v>41.730000000000004</v>
      </c>
      <c r="F18" s="102">
        <v>205</v>
      </c>
      <c r="G18" s="101">
        <f t="shared" si="0"/>
        <v>63.429600000000008</v>
      </c>
      <c r="H18" s="102">
        <v>275</v>
      </c>
      <c r="I18" s="101">
        <v>107</v>
      </c>
    </row>
    <row r="19" spans="1:9" x14ac:dyDescent="0.2">
      <c r="A19" s="60" t="s">
        <v>49</v>
      </c>
      <c r="B19" s="100">
        <v>200</v>
      </c>
      <c r="C19" s="101">
        <v>69</v>
      </c>
      <c r="D19" s="102">
        <v>115</v>
      </c>
      <c r="E19" s="101">
        <f>C19*$B$35</f>
        <v>35.880000000000003</v>
      </c>
      <c r="F19" s="102">
        <v>170</v>
      </c>
      <c r="G19" s="101">
        <f t="shared" si="0"/>
        <v>54.537600000000005</v>
      </c>
      <c r="H19" s="102">
        <v>205</v>
      </c>
      <c r="I19" s="101">
        <f>C19*$B$36</f>
        <v>89.01</v>
      </c>
    </row>
    <row r="20" spans="1:9" x14ac:dyDescent="0.2">
      <c r="A20" s="60" t="s">
        <v>50</v>
      </c>
      <c r="B20" s="100">
        <v>200</v>
      </c>
      <c r="C20" s="101">
        <f>E20*$C$35</f>
        <v>68.399999999999991</v>
      </c>
      <c r="D20" s="102">
        <v>115</v>
      </c>
      <c r="E20" s="101">
        <v>36</v>
      </c>
      <c r="F20" s="102">
        <v>170</v>
      </c>
      <c r="G20" s="101">
        <f t="shared" si="0"/>
        <v>54.72</v>
      </c>
      <c r="H20" s="102">
        <v>205</v>
      </c>
      <c r="I20" s="101">
        <f>E20*$B$37</f>
        <v>91.08</v>
      </c>
    </row>
    <row r="21" spans="1:9" x14ac:dyDescent="0.2">
      <c r="A21" s="60" t="s">
        <v>51</v>
      </c>
      <c r="B21" s="100">
        <v>200</v>
      </c>
      <c r="C21" s="101">
        <f>I21*$C$36</f>
        <v>65.085971999999998</v>
      </c>
      <c r="D21" s="102">
        <v>115</v>
      </c>
      <c r="E21" s="101">
        <f>I21*$C$37</f>
        <v>32.76</v>
      </c>
      <c r="F21" s="102">
        <v>170</v>
      </c>
      <c r="G21" s="101">
        <f t="shared" si="0"/>
        <v>49.795199999999994</v>
      </c>
      <c r="H21" s="102">
        <v>205</v>
      </c>
      <c r="I21" s="101">
        <v>84</v>
      </c>
    </row>
    <row r="22" spans="1:9" x14ac:dyDescent="0.2">
      <c r="A22" s="60" t="s">
        <v>66</v>
      </c>
      <c r="B22" s="100">
        <v>130</v>
      </c>
      <c r="C22" s="101">
        <v>63</v>
      </c>
      <c r="D22" s="102">
        <v>70</v>
      </c>
      <c r="E22" s="101">
        <v>35</v>
      </c>
      <c r="F22" s="102">
        <v>100</v>
      </c>
      <c r="G22" s="101">
        <v>51</v>
      </c>
      <c r="H22" s="102">
        <v>165</v>
      </c>
      <c r="I22" s="101">
        <v>83</v>
      </c>
    </row>
    <row r="23" spans="1:9" x14ac:dyDescent="0.2">
      <c r="A23" s="60" t="s">
        <v>67</v>
      </c>
      <c r="B23" s="100">
        <v>145</v>
      </c>
      <c r="C23" s="101">
        <v>71</v>
      </c>
      <c r="D23" s="102">
        <v>80</v>
      </c>
      <c r="E23" s="101">
        <v>40</v>
      </c>
      <c r="F23" s="102">
        <v>115</v>
      </c>
      <c r="G23" s="101">
        <v>58</v>
      </c>
      <c r="H23" s="102">
        <v>185</v>
      </c>
      <c r="I23" s="101">
        <v>94</v>
      </c>
    </row>
    <row r="24" spans="1:9" x14ac:dyDescent="0.2">
      <c r="A24" s="60" t="s">
        <v>68</v>
      </c>
      <c r="B24" s="100">
        <v>50</v>
      </c>
      <c r="C24" s="101">
        <v>24</v>
      </c>
      <c r="D24" s="102">
        <v>30</v>
      </c>
      <c r="E24" s="101">
        <v>14</v>
      </c>
      <c r="F24" s="102">
        <v>45</v>
      </c>
      <c r="G24" s="101">
        <v>20</v>
      </c>
      <c r="H24" s="102">
        <v>65</v>
      </c>
      <c r="I24" s="101">
        <v>3</v>
      </c>
    </row>
    <row r="25" spans="1:9" x14ac:dyDescent="0.2">
      <c r="A25" s="61" t="s">
        <v>69</v>
      </c>
      <c r="B25" s="103">
        <v>60</v>
      </c>
      <c r="C25" s="104">
        <v>28</v>
      </c>
      <c r="D25" s="105">
        <v>35</v>
      </c>
      <c r="E25" s="104">
        <v>16</v>
      </c>
      <c r="F25" s="105">
        <v>50</v>
      </c>
      <c r="G25" s="104">
        <v>23</v>
      </c>
      <c r="H25" s="105">
        <v>75</v>
      </c>
      <c r="I25" s="104">
        <v>37</v>
      </c>
    </row>
    <row r="26" spans="1:9" x14ac:dyDescent="0.2">
      <c r="A26" s="29"/>
      <c r="B26" s="99"/>
      <c r="C26" s="99"/>
      <c r="D26" s="99"/>
      <c r="E26" s="99"/>
      <c r="F26" s="99"/>
      <c r="G26" s="99"/>
      <c r="H26" s="99"/>
      <c r="I26" s="99"/>
    </row>
    <row r="27" spans="1:9" x14ac:dyDescent="0.2">
      <c r="A27" s="28" t="s">
        <v>70</v>
      </c>
      <c r="B27" s="106" t="s">
        <v>71</v>
      </c>
      <c r="C27" s="106" t="s">
        <v>8</v>
      </c>
      <c r="D27" s="99"/>
      <c r="E27" s="99"/>
      <c r="F27" s="99"/>
      <c r="G27" s="99"/>
      <c r="H27" s="99"/>
      <c r="I27" s="99"/>
    </row>
    <row r="28" spans="1:9" x14ac:dyDescent="0.2">
      <c r="A28" s="96" t="s">
        <v>61</v>
      </c>
      <c r="B28" s="107">
        <v>2</v>
      </c>
      <c r="C28" s="107">
        <v>3</v>
      </c>
      <c r="D28" s="108"/>
      <c r="E28" s="108"/>
      <c r="F28" s="108"/>
      <c r="G28" s="108"/>
      <c r="H28" s="108"/>
      <c r="I28" s="108"/>
    </row>
    <row r="29" spans="1:9" x14ac:dyDescent="0.2">
      <c r="A29" s="96" t="s">
        <v>63</v>
      </c>
      <c r="B29" s="107">
        <v>4</v>
      </c>
      <c r="C29" s="107">
        <v>5</v>
      </c>
    </row>
    <row r="30" spans="1:9" x14ac:dyDescent="0.2">
      <c r="A30" s="96" t="s">
        <v>72</v>
      </c>
      <c r="B30" s="107">
        <v>6</v>
      </c>
      <c r="C30" s="107">
        <v>7</v>
      </c>
    </row>
    <row r="31" spans="1:9" x14ac:dyDescent="0.2">
      <c r="A31" s="96" t="s">
        <v>65</v>
      </c>
      <c r="B31" s="107">
        <v>8</v>
      </c>
      <c r="C31" s="107">
        <v>9</v>
      </c>
    </row>
    <row r="34" spans="1:3" x14ac:dyDescent="0.2">
      <c r="A34" s="131" t="s">
        <v>82</v>
      </c>
      <c r="B34" s="132">
        <v>0.77127999999999997</v>
      </c>
      <c r="C34" s="133">
        <v>1.29</v>
      </c>
    </row>
    <row r="35" spans="1:3" x14ac:dyDescent="0.2">
      <c r="A35" s="131" t="s">
        <v>83</v>
      </c>
      <c r="B35" s="132">
        <v>0.52</v>
      </c>
      <c r="C35" s="134">
        <v>1.9</v>
      </c>
    </row>
    <row r="36" spans="1:3" x14ac:dyDescent="0.2">
      <c r="A36" s="29" t="s">
        <v>84</v>
      </c>
      <c r="B36" s="102">
        <v>1.29</v>
      </c>
      <c r="C36" s="134">
        <v>0.77483299999999999</v>
      </c>
    </row>
    <row r="37" spans="1:3" x14ac:dyDescent="0.2">
      <c r="A37" s="29" t="s">
        <v>85</v>
      </c>
      <c r="B37" s="102">
        <v>2.5299999999999998</v>
      </c>
      <c r="C37">
        <v>0.39</v>
      </c>
    </row>
    <row r="38" spans="1:3" x14ac:dyDescent="0.2">
      <c r="A38" s="29" t="s">
        <v>86</v>
      </c>
      <c r="B38" s="102">
        <v>1.52</v>
      </c>
      <c r="C38">
        <v>0.65800000000000003</v>
      </c>
    </row>
  </sheetData>
  <mergeCells count="2">
    <mergeCell ref="A1:I1"/>
    <mergeCell ref="L8:O8"/>
  </mergeCells>
  <phoneticPr fontId="7" type="noConversion"/>
  <pageMargins left="0.75" right="0.75" top="1" bottom="1" header="0.5" footer="0.5"/>
  <pageSetup scale="69" orientation="landscape" r:id="rId1"/>
  <headerFooter alignWithMargins="0">
    <oddFooter>&amp;Lcost FEB 2007</oddFooter>
  </headerFooter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Report" ma:contentTypeID="0x01010058DDEB47312E4967BFC1576B96E8C3D400042915B74B858047A0F02366643A741C" ma:contentTypeVersion="20" ma:contentTypeDescription="" ma:contentTypeScope="" ma:versionID="2c2c8efe7e3bfec95adf35a0f6703ec4">
  <xsd:schema xmlns:xsd="http://www.w3.org/2001/XMLSchema" xmlns:xs="http://www.w3.org/2001/XMLSchema" xmlns:p="http://schemas.microsoft.com/office/2006/metadata/properties" xmlns:ns1="http://schemas.microsoft.com/sharepoint/v3" xmlns:ns2="87fa94fe-5ad7-4dd5-a490-5e3f0ba4b54b" xmlns:ns3="25c0f05f-b61a-491f-a19d-37e3a42ecd69" targetNamespace="http://schemas.microsoft.com/office/2006/metadata/properties" ma:root="true" ma:fieldsID="6594109838eab937db841e99b09cd861" ns1:_="" ns2:_="" ns3:_="">
    <xsd:import namespace="http://schemas.microsoft.com/sharepoint/v3"/>
    <xsd:import namespace="87fa94fe-5ad7-4dd5-a490-5e3f0ba4b54b"/>
    <xsd:import namespace="25c0f05f-b61a-491f-a19d-37e3a42ecd69"/>
    <xsd:element name="properties">
      <xsd:complexType>
        <xsd:sequence>
          <xsd:element name="documentManagement">
            <xsd:complexType>
              <xsd:all>
                <xsd:element ref="ns1:ReportDescription" minOccurs="0"/>
                <xsd:element ref="ns1:ParentId" minOccurs="0"/>
                <xsd:element ref="ns1:ReportOwner" minOccurs="0"/>
                <xsd:element ref="ns1:ReportCategory" minOccurs="0"/>
                <xsd:element ref="ns1:ReportStatus" minOccurs="0"/>
                <xsd:element ref="ns2:Industry"/>
                <xsd:element ref="ns2:ORG" minOccurs="0"/>
                <xsd:element ref="ns2:ACCT" minOccurs="0"/>
                <xsd:element ref="ns2:Engagement" minOccurs="0"/>
                <xsd:element ref="ns2:Proposal_x0020_Title" minOccurs="0"/>
                <xsd:element ref="ns2:Organization_x0020_Name" minOccurs="0"/>
                <xsd:element ref="ns2:Proposal_x0020_Date" minOccurs="0"/>
                <xsd:element ref="ns2:Proposal_x0020_Title_x0020_Txt" minOccurs="0"/>
                <xsd:element ref="ns2:Product" minOccurs="0"/>
                <xsd:element ref="ns3:pega_pxattachkey" minOccurs="0"/>
                <xsd:element ref="ns3:pega_pxrefobjectkey" minOccurs="0"/>
                <xsd:element ref="ns1:AverageRating" minOccurs="0"/>
                <xsd:element ref="ns1:RatingCount" minOccurs="0"/>
                <xsd:element ref="ns1:RatedBy" minOccurs="0"/>
                <xsd:element ref="ns1:Ratings" minOccurs="0"/>
                <xsd:element ref="ns1:LikesCount" minOccurs="0"/>
                <xsd:element ref="ns1:LikedBy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http://schemas.microsoft.com/sharepoint/v3" elementFormDefault="qualified">
    <xsd:import namespace="http://schemas.microsoft.com/office/2006/documentManagement/types"/>
    <xsd:import namespace="http://schemas.microsoft.com/office/infopath/2007/PartnerControls"/>
    <xsd:element name="ReportDescription" ma:index="8" nillable="true" ma:displayName="Report Description" ma:description="A description of the contents of the report" ma:internalName="ReportDescription">
      <xsd:simpleType>
        <xsd:restriction base="dms:Note">
          <xsd:maxLength value="255"/>
        </xsd:restriction>
      </xsd:simpleType>
    </xsd:element>
    <xsd:element name="ParentId" ma:index="9" nillable="true" ma:displayName="Parent ID" ma:description="The Parent Id of this report" ma:hidden="true" ma:internalName="ParentId">
      <xsd:simpleType>
        <xsd:restriction base="dms:Number"/>
      </xsd:simpleType>
    </xsd:element>
    <xsd:element name="ReportOwner" ma:index="10" nillable="true" ma:displayName="Owner" ma:description="Owner of this document" ma:list="UserInfo" ma:internalName="ReportOwner">
      <xsd:complexType>
        <xsd:complexContent>
          <xsd:extension base="dms:User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ReportCategory" ma:index="11" nillable="true" ma:displayName="Report Category" ma:description="Category of the report" ma:internalName="ReportCategory">
      <xsd:simpleType>
        <xsd:restriction base="dms:Choice">
          <xsd:enumeration value="Category 1"/>
          <xsd:enumeration value="Category 2"/>
          <xsd:enumeration value="Category 3"/>
        </xsd:restriction>
      </xsd:simpleType>
    </xsd:element>
    <xsd:element name="ReportStatus" ma:index="12" nillable="true" ma:displayName="Report Status" ma:description="Status of the report" ma:internalName="ReportStatus">
      <xsd:simpleType>
        <xsd:restriction base="dms:Choice">
          <xsd:enumeration value="Final"/>
          <xsd:enumeration value="Preliminary"/>
          <xsd:enumeration value="Period To Date"/>
        </xsd:restriction>
      </xsd:simpleType>
    </xsd:element>
    <xsd:element name="AverageRating" ma:index="24" nillable="true" ma:displayName="Rating (0-5)" ma:decimals="2" ma:description="Average value of all the ratings that have been submitted" ma:internalName="AverageRating" ma:readOnly="true">
      <xsd:simpleType>
        <xsd:restriction base="dms:Number"/>
      </xsd:simpleType>
    </xsd:element>
    <xsd:element name="RatingCount" ma:index="25" nillable="true" ma:displayName="Number of Ratings" ma:decimals="0" ma:description="Number of ratings submitted" ma:internalName="RatingCount" ma:readOnly="true">
      <xsd:simpleType>
        <xsd:restriction base="dms:Number"/>
      </xsd:simpleType>
    </xsd:element>
    <xsd:element name="RatedBy" ma:index="26" nillable="true" ma:displayName="Rated By" ma:description="Users rated the item." ma:hidden="true" ma:list="UserInfo" ma:internalName="RatedBy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Ratings" ma:index="27" nillable="true" ma:displayName="User ratings" ma:description="User ratings for the item" ma:hidden="true" ma:internalName="Ratings">
      <xsd:simpleType>
        <xsd:restriction base="dms:Note"/>
      </xsd:simpleType>
    </xsd:element>
    <xsd:element name="LikesCount" ma:index="28" nillable="true" ma:displayName="Number of Likes" ma:internalName="LikesCount">
      <xsd:simpleType>
        <xsd:restriction base="dms:Unknown"/>
      </xsd:simpleType>
    </xsd:element>
    <xsd:element name="LikedBy" ma:index="29" nillable="true" ma:displayName="Liked By" ma:hidden="true" ma:list="UserInfo" ma:internalName="LikedBy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7fa94fe-5ad7-4dd5-a490-5e3f0ba4b54b" elementFormDefault="qualified">
    <xsd:import namespace="http://schemas.microsoft.com/office/2006/documentManagement/types"/>
    <xsd:import namespace="http://schemas.microsoft.com/office/infopath/2007/PartnerControls"/>
    <xsd:element name="Industry" ma:index="13" ma:displayName="Industry" ma:default="Travel and Hospitality" ma:description="Proposal Industry" ma:format="Dropdown" ma:internalName="Industry">
      <xsd:simpleType>
        <xsd:restriction base="dms:Choice">
          <xsd:enumeration value="Banking and Capital Markets"/>
          <xsd:enumeration value="Communications and Media"/>
          <xsd:enumeration value="Finance"/>
          <xsd:enumeration value="Government"/>
          <xsd:enumeration value="Healthcare"/>
          <xsd:enumeration value="Insurance"/>
          <xsd:enumeration value="NSG"/>
          <xsd:enumeration value="Travel and Hospitality"/>
          <xsd:enumeration value="Banking &amp; Financial Markets"/>
          <xsd:enumeration value="Life Sciences"/>
          <xsd:enumeration value="Energy"/>
          <xsd:enumeration value="Manufactoring &amp; High Technology"/>
          <xsd:enumeration value="Diversified Markets"/>
          <xsd:enumeration value="Other"/>
        </xsd:restriction>
      </xsd:simpleType>
    </xsd:element>
    <xsd:element name="ORG" ma:index="14" nillable="true" ma:displayName="ORG" ma:description="Organization" ma:internalName="ORG">
      <xsd:simpleType>
        <xsd:restriction base="dms:Text">
          <xsd:maxLength value="10"/>
        </xsd:restriction>
      </xsd:simpleType>
    </xsd:element>
    <xsd:element name="ACCT" ma:index="15" nillable="true" ma:displayName="ACCT" ma:description="Account" ma:internalName="ACCT">
      <xsd:simpleType>
        <xsd:restriction base="dms:Text">
          <xsd:maxLength value="30"/>
        </xsd:restriction>
      </xsd:simpleType>
    </xsd:element>
    <xsd:element name="Engagement" ma:index="16" nillable="true" ma:displayName="Engagement" ma:description="ENG ID" ma:internalName="Engagement">
      <xsd:simpleType>
        <xsd:restriction base="dms:Text">
          <xsd:maxLength value="40"/>
        </xsd:restriction>
      </xsd:simpleType>
    </xsd:element>
    <xsd:element name="Proposal_x0020_Title" ma:index="17" nillable="true" ma:displayName="Proposal Title" ma:description="Title of Proposal Document" ma:format="Hyperlink" ma:internalName="Proposal_x0020_Title" ma:readOnly="false">
      <xsd:complexType>
        <xsd:complexContent>
          <xsd:extension base="dms:URL">
            <xsd:sequence>
              <xsd:element name="Url" type="dms:ValidUrl" minOccurs="0" nillable="true"/>
              <xsd:element name="Description" type="xsd:string" nillable="true"/>
            </xsd:sequence>
          </xsd:extension>
        </xsd:complexContent>
      </xsd:complexType>
    </xsd:element>
    <xsd:element name="Organization_x0020_Name" ma:index="18" nillable="true" ma:displayName="Organization Name" ma:internalName="Organization_x0020_Name">
      <xsd:simpleType>
        <xsd:restriction base="dms:Text">
          <xsd:maxLength value="25"/>
        </xsd:restriction>
      </xsd:simpleType>
    </xsd:element>
    <xsd:element name="Proposal_x0020_Date" ma:index="19" nillable="true" ma:displayName="Proposal Date" ma:format="DateOnly" ma:internalName="Proposal_x0020_Date">
      <xsd:simpleType>
        <xsd:restriction base="dms:DateTime"/>
      </xsd:simpleType>
    </xsd:element>
    <xsd:element name="Proposal_x0020_Title_x0020_Txt" ma:index="20" nillable="true" ma:displayName="Proposal Title Txt" ma:default="" ma:description="Enter Proposal Title" ma:internalName="Proposal_x0020_Title_x0020_Txt">
      <xsd:simpleType>
        <xsd:restriction base="dms:Text">
          <xsd:maxLength value="40"/>
        </xsd:restriction>
      </xsd:simpleType>
    </xsd:element>
    <xsd:element name="Product" ma:index="21" nillable="true" ma:displayName="Product" ma:description="the Pega Product" ma:internalName="Product">
      <xsd:simpleType>
        <xsd:restriction base="dms:Text">
          <xsd:maxLength value="40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25c0f05f-b61a-491f-a19d-37e3a42ecd69" elementFormDefault="qualified">
    <xsd:import namespace="http://schemas.microsoft.com/office/2006/documentManagement/types"/>
    <xsd:import namespace="http://schemas.microsoft.com/office/infopath/2007/PartnerControls"/>
    <xsd:element name="pega_pxattachkey" ma:index="22" nillable="true" ma:displayName="pega_pxattachkey" ma:description="PRPC Attachment Key" ma:internalName="pega_pxattachkey">
      <xsd:simpleType>
        <xsd:restriction base="dms:Text">
          <xsd:maxLength value="255"/>
        </xsd:restriction>
      </xsd:simpleType>
    </xsd:element>
    <xsd:element name="pega_pxrefobjectkey" ma:index="23" nillable="true" ma:displayName="pega_pxrefobjectkey" ma:description="PRPC Case ID" ma:internalName="pega_pxrefobjectkey">
      <xsd:simpleType>
        <xsd:restriction base="dms:Text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ORG xmlns="87fa94fe-5ad7-4dd5-a490-5e3f0ba4b54b" xsi:nil="true"/>
    <Proposal_x0020_Title_x0020_Txt xmlns="87fa94fe-5ad7-4dd5-a490-5e3f0ba4b54b" xsi:nil="true"/>
    <LikesCount xmlns="http://schemas.microsoft.com/sharepoint/v3" xsi:nil="true"/>
    <pega_pxrefobjectkey xmlns="25c0f05f-b61a-491f-a19d-37e3a42ecd69">GS-OPS-DELTA-WORK ECR-19JUL2018-2</pega_pxrefobjectkey>
    <ACCT xmlns="87fa94fe-5ad7-4dd5-a490-5e3f0ba4b54b" xsi:nil="true"/>
    <Ratings xmlns="http://schemas.microsoft.com/sharepoint/v3" xsi:nil="true"/>
    <Industry xmlns="87fa94fe-5ad7-4dd5-a490-5e3f0ba4b54b">Travel and Hospitality</Industry>
    <ReportCategory xmlns="http://schemas.microsoft.com/sharepoint/v3" xsi:nil="true"/>
    <Proposal_x0020_Date xmlns="87fa94fe-5ad7-4dd5-a490-5e3f0ba4b54b">2018-07-26T13:54:34+00:00</Proposal_x0020_Date>
    <LikedBy xmlns="http://schemas.microsoft.com/sharepoint/v3">
      <UserInfo>
        <DisplayName/>
        <AccountId xsi:nil="true"/>
        <AccountType/>
      </UserInfo>
    </LikedBy>
    <ReportStatus xmlns="http://schemas.microsoft.com/sharepoint/v3" xsi:nil="true"/>
    <Proposal_x0020_Title xmlns="87fa94fe-5ad7-4dd5-a490-5e3f0ba4b54b">
      <Url xsi:nil="true"/>
      <Description xsi:nil="true"/>
    </Proposal_x0020_Title>
    <Product xmlns="87fa94fe-5ad7-4dd5-a490-5e3f0ba4b54b" xsi:nil="true"/>
    <pega_pxattachkey xmlns="25c0f05f-b61a-491f-a19d-37e3a42ecd69">20180719T095629.348 GMT</pega_pxattachkey>
    <ParentId xmlns="http://schemas.microsoft.com/sharepoint/v3" xsi:nil="true"/>
    <ReportDescription xmlns="http://schemas.microsoft.com/sharepoint/v3" xsi:nil="true"/>
    <ReportOwner xmlns="http://schemas.microsoft.com/sharepoint/v3">
      <UserInfo>
        <DisplayName/>
        <AccountId xsi:nil="true"/>
        <AccountType/>
      </UserInfo>
    </ReportOwner>
    <Organization_x0020_Name xmlns="87fa94fe-5ad7-4dd5-a490-5e3f0ba4b54b" xsi:nil="true"/>
    <Engagement xmlns="87fa94fe-5ad7-4dd5-a490-5e3f0ba4b54b" xsi:nil="true"/>
    <RatedBy xmlns="http://schemas.microsoft.com/sharepoint/v3">
      <UserInfo>
        <DisplayName/>
        <AccountId xsi:nil="true"/>
        <AccountType/>
      </UserInfo>
    </RatedBy>
  </documentManagement>
</p:properties>
</file>

<file path=customXml/itemProps1.xml><?xml version="1.0" encoding="utf-8"?>
<ds:datastoreItem xmlns:ds="http://schemas.openxmlformats.org/officeDocument/2006/customXml" ds:itemID="{2C51E86F-A942-4312-A5AD-1A5F2B23A4C9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microsoft.com/sharepoint/v3"/>
    <ds:schemaRef ds:uri="87fa94fe-5ad7-4dd5-a490-5e3f0ba4b54b"/>
    <ds:schemaRef ds:uri="25c0f05f-b61a-491f-a19d-37e3a42ecd69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F1731AA5-93AD-4C3F-9B02-8410CC69D20A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D2C368E0-BE5B-4B47-987B-CBF0C83C4BBF}">
  <ds:schemaRefs>
    <ds:schemaRef ds:uri="http://purl.org/dc/elements/1.1/"/>
    <ds:schemaRef ds:uri="http://schemas.microsoft.com/office/2006/metadata/properties"/>
    <ds:schemaRef ds:uri="http://schemas.microsoft.com/sharepoint/v3"/>
    <ds:schemaRef ds:uri="http://purl.org/dc/terms/"/>
    <ds:schemaRef ds:uri="http://schemas.microsoft.com/office/infopath/2007/PartnerControls"/>
    <ds:schemaRef ds:uri="25c0f05f-b61a-491f-a19d-37e3a42ecd69"/>
    <ds:schemaRef ds:uri="http://schemas.microsoft.com/office/2006/documentManagement/types"/>
    <ds:schemaRef ds:uri="http://schemas.openxmlformats.org/package/2006/metadata/core-properties"/>
    <ds:schemaRef ds:uri="87fa94fe-5ad7-4dd5-a490-5e3f0ba4b54b"/>
    <ds:schemaRef ds:uri="http://www.w3.org/XML/1998/namespace"/>
    <ds:schemaRef ds:uri="http://purl.org/dc/dcmitype/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11</vt:i4>
      </vt:variant>
      <vt:variant>
        <vt:lpstr>Named Ranges</vt:lpstr>
      </vt:variant>
      <vt:variant>
        <vt:i4>7</vt:i4>
      </vt:variant>
    </vt:vector>
  </HeadingPairs>
  <TitlesOfParts>
    <vt:vector size="18" baseType="lpstr">
      <vt:lpstr>Summary</vt:lpstr>
      <vt:lpstr>TCP INVESTMENT</vt:lpstr>
      <vt:lpstr>TCP BID</vt:lpstr>
      <vt:lpstr>Non-Reimbursable Expenses</vt:lpstr>
      <vt:lpstr>Risks and Assumptions</vt:lpstr>
      <vt:lpstr>BID</vt:lpstr>
      <vt:lpstr>RATE CARD</vt:lpstr>
      <vt:lpstr>gsrates</vt:lpstr>
      <vt:lpstr>INVESTMENT</vt:lpstr>
      <vt:lpstr>RISK</vt:lpstr>
      <vt:lpstr>rates</vt:lpstr>
      <vt:lpstr>Margin_Target</vt:lpstr>
      <vt:lpstr>BID!Print_Area</vt:lpstr>
      <vt:lpstr>INVESTMENT!Print_Area</vt:lpstr>
      <vt:lpstr>'RATE CARD'!Print_Area</vt:lpstr>
      <vt:lpstr>Summary!Print_Area</vt:lpstr>
      <vt:lpstr>'TCP BID'!Print_Area</vt:lpstr>
      <vt:lpstr>'TCP INVESTMENT'!Print_Area</vt:lpstr>
    </vt:vector>
  </TitlesOfParts>
  <Company>Pegasystems Inc.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Adriana Pogoda</dc:creator>
  <cp:lastModifiedBy>Nipinale, Nagaveni</cp:lastModifiedBy>
  <cp:lastPrinted>2015-07-01T11:20:10Z</cp:lastPrinted>
  <dcterms:created xsi:type="dcterms:W3CDTF">2006-01-03T13:58:19Z</dcterms:created>
  <dcterms:modified xsi:type="dcterms:W3CDTF">2018-08-27T11:01:49Z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0x01010058DDEB47312E4967BFC1576B96E8C3D400042915B74B858047A0F02366643A741C</vt:lpwstr>
  </property>
</Properties>
</file>
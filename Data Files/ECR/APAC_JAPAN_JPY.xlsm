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pin\Desktop\"/>
    </mc:Choice>
  </mc:AlternateContent>
  <xr:revisionPtr revIDLastSave="0" documentId="13_ncr:1_{C290E6E9-74F2-4B15-82F8-754FDB5E7067}" xr6:coauthVersionLast="34" xr6:coauthVersionMax="34" xr10:uidLastSave="{00000000-0000-0000-0000-000000000000}"/>
  <bookViews>
    <workbookView xWindow="0" yWindow="0" windowWidth="28800" windowHeight="12225" tabRatio="881" xr2:uid="{00000000-000D-0000-FFFF-FFFF00000000}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9021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O17" i="38" l="1"/>
  <c r="O18" i="38"/>
  <c r="O19" i="38"/>
  <c r="O20" i="38"/>
  <c r="O21" i="38"/>
  <c r="O22" i="38"/>
  <c r="O23" i="38"/>
  <c r="O24" i="38"/>
  <c r="O25" i="38"/>
  <c r="O26" i="38"/>
  <c r="O27" i="38"/>
  <c r="O28" i="38"/>
  <c r="O29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I17" i="39"/>
  <c r="I17" i="38" s="1"/>
  <c r="I18" i="39"/>
  <c r="I18" i="38" s="1"/>
  <c r="I19" i="39"/>
  <c r="I19" i="38" s="1"/>
  <c r="I20" i="39"/>
  <c r="I20" i="38" s="1"/>
  <c r="I21" i="39"/>
  <c r="I21" i="38" s="1"/>
  <c r="I22" i="39"/>
  <c r="I22" i="38" s="1"/>
  <c r="I23" i="39"/>
  <c r="I23" i="38" s="1"/>
  <c r="I24" i="39"/>
  <c r="I24" i="38" s="1"/>
  <c r="I25" i="39"/>
  <c r="I25" i="38" s="1"/>
  <c r="I26" i="39"/>
  <c r="I26" i="38" s="1"/>
  <c r="I27" i="39"/>
  <c r="I27" i="38" s="1"/>
  <c r="I28" i="39"/>
  <c r="I28" i="38" s="1"/>
  <c r="I29" i="39"/>
  <c r="I29" i="38" s="1"/>
  <c r="I30" i="39"/>
  <c r="I30" i="38" s="1"/>
  <c r="H16" i="39"/>
  <c r="H16" i="38" s="1"/>
  <c r="H17" i="39"/>
  <c r="H17" i="38" s="1"/>
  <c r="H18" i="39"/>
  <c r="H18" i="38" s="1"/>
  <c r="H19" i="39"/>
  <c r="H19" i="38" s="1"/>
  <c r="H20" i="39"/>
  <c r="H20" i="38" s="1"/>
  <c r="H21" i="39"/>
  <c r="H21" i="38" s="1"/>
  <c r="H22" i="39"/>
  <c r="H22" i="38" s="1"/>
  <c r="H23" i="39"/>
  <c r="H23" i="38" s="1"/>
  <c r="H24" i="39"/>
  <c r="H24" i="38" s="1"/>
  <c r="H25" i="39"/>
  <c r="H25" i="38" s="1"/>
  <c r="H26" i="39"/>
  <c r="H26" i="38" s="1"/>
  <c r="H27" i="39"/>
  <c r="H27" i="38" s="1"/>
  <c r="H28" i="39"/>
  <c r="H28" i="38" s="1"/>
  <c r="H29" i="39"/>
  <c r="H29" i="38" s="1"/>
  <c r="H30" i="39"/>
  <c r="H30" i="38" s="1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7" i="38" s="1"/>
  <c r="P18" i="39"/>
  <c r="P18" i="38" s="1"/>
  <c r="P19" i="39"/>
  <c r="P19" i="38" s="1"/>
  <c r="P20" i="39"/>
  <c r="P20" i="38" s="1"/>
  <c r="P21" i="39"/>
  <c r="P21" i="38" s="1"/>
  <c r="P22" i="39"/>
  <c r="P22" i="38" s="1"/>
  <c r="P23" i="39"/>
  <c r="P23" i="38" s="1"/>
  <c r="P24" i="39"/>
  <c r="P24" i="38" s="1"/>
  <c r="P25" i="39"/>
  <c r="P25" i="38" s="1"/>
  <c r="P26" i="39"/>
  <c r="P26" i="38" s="1"/>
  <c r="P27" i="39"/>
  <c r="P27" i="38" s="1"/>
  <c r="P28" i="39"/>
  <c r="P28" i="38" s="1"/>
  <c r="P29" i="39"/>
  <c r="P29" i="38" s="1"/>
  <c r="P30" i="39"/>
  <c r="P30" i="38" s="1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P16" i="39" l="1"/>
  <c r="P16" i="38" s="1"/>
  <c r="I16" i="39"/>
  <c r="I16" i="38" s="1"/>
  <c r="V23" i="34"/>
  <c r="V22" i="34"/>
  <c r="V21" i="34"/>
  <c r="V20" i="34"/>
  <c r="V19" i="34"/>
  <c r="V18" i="34"/>
  <c r="V17" i="34"/>
  <c r="V15" i="34"/>
  <c r="G30" i="14" l="1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A17" i="40"/>
  <c r="T17" i="40" s="1"/>
  <c r="V17" i="40" s="1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T23" i="40" s="1"/>
  <c r="V23" i="40" s="1"/>
  <c r="A24" i="40"/>
  <c r="T24" i="40" s="1"/>
  <c r="V24" i="40" s="1"/>
  <c r="A25" i="40"/>
  <c r="T25" i="40" s="1"/>
  <c r="V25" i="40" s="1"/>
  <c r="A26" i="40"/>
  <c r="A27" i="40"/>
  <c r="T27" i="40" s="1"/>
  <c r="V27" i="40" s="1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T28" i="40"/>
  <c r="V28" i="40" s="1"/>
  <c r="T26" i="40"/>
  <c r="V26" i="40" s="1"/>
  <c r="D16" i="14"/>
  <c r="H56" i="40" l="1"/>
  <c r="T29" i="40"/>
  <c r="V29" i="40" s="1"/>
  <c r="I56" i="40"/>
  <c r="T31" i="40"/>
  <c r="V31" i="40" s="1"/>
  <c r="T30" i="40"/>
  <c r="V30" i="40" s="1"/>
  <c r="T14" i="40"/>
  <c r="T32" i="40" s="1"/>
  <c r="E6" i="40"/>
  <c r="V14" i="40" l="1"/>
  <c r="B3" i="34" l="1"/>
  <c r="B3" i="40" s="1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V16" i="34" s="1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I17" i="40" l="1"/>
  <c r="P17" i="40"/>
  <c r="I16" i="40"/>
  <c r="V16" i="40" s="1"/>
  <c r="V32" i="40" s="1"/>
  <c r="I15" i="40"/>
  <c r="I18" i="40"/>
  <c r="P15" i="34"/>
  <c r="P15" i="40" s="1"/>
  <c r="G23" i="33"/>
  <c r="H23" i="33" s="1"/>
  <c r="O23" i="33" l="1"/>
  <c r="V31" i="34" l="1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L42" i="38"/>
  <c r="J42" i="38"/>
  <c r="F42" i="38"/>
  <c r="E42" i="38"/>
  <c r="B42" i="38"/>
  <c r="A42" i="38"/>
  <c r="O41" i="38"/>
  <c r="L41" i="38"/>
  <c r="J41" i="38"/>
  <c r="F41" i="38"/>
  <c r="E41" i="38"/>
  <c r="B41" i="38"/>
  <c r="A41" i="38"/>
  <c r="O40" i="38"/>
  <c r="L40" i="38"/>
  <c r="J40" i="38"/>
  <c r="F40" i="38"/>
  <c r="E40" i="38"/>
  <c r="B40" i="38"/>
  <c r="A40" i="38"/>
  <c r="O39" i="38"/>
  <c r="L39" i="38"/>
  <c r="J39" i="38"/>
  <c r="F39" i="38"/>
  <c r="E39" i="38"/>
  <c r="B39" i="38"/>
  <c r="A39" i="38"/>
  <c r="O38" i="38"/>
  <c r="L38" i="38"/>
  <c r="J38" i="38"/>
  <c r="F38" i="38"/>
  <c r="E38" i="38"/>
  <c r="B38" i="38"/>
  <c r="A38" i="38"/>
  <c r="O37" i="38"/>
  <c r="L37" i="38"/>
  <c r="J37" i="38"/>
  <c r="F37" i="38"/>
  <c r="E37" i="38"/>
  <c r="B37" i="38"/>
  <c r="A37" i="38"/>
  <c r="O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M42" i="38" s="1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M41" i="38" s="1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M40" i="38" s="1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M39" i="38" s="1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M38" i="38" s="1"/>
  <c r="K38" i="39"/>
  <c r="K38" i="38" s="1"/>
  <c r="I38" i="39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M37" i="38" s="1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N36" i="39"/>
  <c r="N36" i="38" s="1"/>
  <c r="M36" i="39"/>
  <c r="M36" i="38" s="1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P31" i="38" s="1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E8" i="39"/>
  <c r="E7" i="39"/>
  <c r="B6" i="39"/>
  <c r="M47" i="39"/>
  <c r="B3" i="39"/>
  <c r="B3" i="38" s="1"/>
  <c r="B1" i="39"/>
  <c r="B1" i="38" s="1"/>
  <c r="H56" i="39" l="1"/>
  <c r="L16" i="39"/>
  <c r="J16" i="39"/>
  <c r="P43" i="39"/>
  <c r="R43" i="39" s="1"/>
  <c r="I43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L16" i="38"/>
  <c r="M16" i="39"/>
  <c r="M15" i="39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M16" i="38" l="1"/>
  <c r="Q16" i="39"/>
  <c r="Q32" i="39" s="1"/>
  <c r="S16" i="39"/>
  <c r="S16" i="38" s="1"/>
  <c r="N16" i="39"/>
  <c r="N16" i="38" s="1"/>
  <c r="K16" i="38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Q16" i="38" l="1"/>
  <c r="R16" i="39"/>
  <c r="R16" i="38" s="1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H56" i="38" l="1"/>
  <c r="P43" i="38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L19" i="34" l="1"/>
  <c r="J19" i="34"/>
  <c r="J18" i="34"/>
  <c r="L18" i="34"/>
  <c r="J17" i="34"/>
  <c r="L17" i="34"/>
  <c r="N43" i="40"/>
  <c r="L16" i="34"/>
  <c r="J15" i="34"/>
  <c r="J16" i="34"/>
  <c r="L15" i="34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I56" i="34"/>
  <c r="U24" i="34"/>
  <c r="U23" i="34"/>
  <c r="V32" i="34"/>
  <c r="A64" i="34"/>
  <c r="H32" i="34"/>
  <c r="H46" i="34" s="1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I46" i="34" l="1"/>
  <c r="H46" i="40"/>
  <c r="J19" i="40"/>
  <c r="K19" i="34"/>
  <c r="M19" i="34"/>
  <c r="L19" i="40"/>
  <c r="L18" i="40"/>
  <c r="M18" i="34"/>
  <c r="J18" i="40"/>
  <c r="K18" i="34"/>
  <c r="M17" i="34"/>
  <c r="L17" i="40"/>
  <c r="J17" i="40"/>
  <c r="K17" i="34"/>
  <c r="J15" i="40"/>
  <c r="K15" i="34"/>
  <c r="J16" i="40"/>
  <c r="K16" i="34"/>
  <c r="M16" i="34"/>
  <c r="L16" i="40"/>
  <c r="L15" i="40"/>
  <c r="M15" i="34"/>
  <c r="M14" i="34"/>
  <c r="M14" i="40" s="1"/>
  <c r="S43" i="34"/>
  <c r="S45" i="40" s="1"/>
  <c r="R43" i="34"/>
  <c r="R45" i="40" s="1"/>
  <c r="H45" i="34"/>
  <c r="I45" i="34" s="1"/>
  <c r="I45" i="40" s="1"/>
  <c r="H47" i="34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K14" i="34"/>
  <c r="I32" i="34"/>
  <c r="R46" i="34"/>
  <c r="R48" i="40" s="1"/>
  <c r="S46" i="34"/>
  <c r="S48" i="40" s="1"/>
  <c r="P32" i="34"/>
  <c r="P45" i="34" l="1"/>
  <c r="P46" i="34"/>
  <c r="P46" i="40" s="1"/>
  <c r="M19" i="40"/>
  <c r="Q19" i="34"/>
  <c r="S19" i="34"/>
  <c r="S19" i="40" s="1"/>
  <c r="N19" i="34"/>
  <c r="N19" i="40" s="1"/>
  <c r="K19" i="40"/>
  <c r="K18" i="40"/>
  <c r="S18" i="34"/>
  <c r="S18" i="40" s="1"/>
  <c r="N18" i="34"/>
  <c r="N18" i="40" s="1"/>
  <c r="M18" i="40"/>
  <c r="Q18" i="34"/>
  <c r="K17" i="40"/>
  <c r="S17" i="34"/>
  <c r="S17" i="40" s="1"/>
  <c r="N17" i="34"/>
  <c r="N17" i="40" s="1"/>
  <c r="M17" i="40"/>
  <c r="Q17" i="34"/>
  <c r="K16" i="40"/>
  <c r="S16" i="34"/>
  <c r="S16" i="40" s="1"/>
  <c r="N16" i="34"/>
  <c r="N16" i="40" s="1"/>
  <c r="M15" i="40"/>
  <c r="Q15" i="34"/>
  <c r="K15" i="40"/>
  <c r="N15" i="34"/>
  <c r="N15" i="40" s="1"/>
  <c r="S15" i="34"/>
  <c r="S15" i="40" s="1"/>
  <c r="M32" i="34"/>
  <c r="H47" i="40"/>
  <c r="I47" i="34"/>
  <c r="M16" i="40"/>
  <c r="Q16" i="34"/>
  <c r="Q14" i="34"/>
  <c r="Q14" i="40" s="1"/>
  <c r="P47" i="34"/>
  <c r="P47" i="40" s="1"/>
  <c r="H45" i="40"/>
  <c r="S14" i="34"/>
  <c r="S14" i="40" s="1"/>
  <c r="K14" i="40"/>
  <c r="P45" i="40"/>
  <c r="C24" i="14"/>
  <c r="H48" i="34"/>
  <c r="I48" i="34" s="1"/>
  <c r="K32" i="34"/>
  <c r="K46" i="34" s="1"/>
  <c r="K46" i="40" s="1"/>
  <c r="N14" i="34"/>
  <c r="N14" i="40" s="1"/>
  <c r="G26" i="33"/>
  <c r="H26" i="33" s="1"/>
  <c r="R26" i="33" s="1"/>
  <c r="M47" i="34" l="1"/>
  <c r="M47" i="40" s="1"/>
  <c r="M46" i="34"/>
  <c r="M46" i="40" s="1"/>
  <c r="R19" i="34"/>
  <c r="R19" i="40" s="1"/>
  <c r="Q19" i="40"/>
  <c r="R18" i="34"/>
  <c r="R18" i="40" s="1"/>
  <c r="Q18" i="40"/>
  <c r="Q17" i="40"/>
  <c r="R17" i="34"/>
  <c r="R17" i="40" s="1"/>
  <c r="K32" i="40"/>
  <c r="S32" i="40" s="1"/>
  <c r="M45" i="34"/>
  <c r="M45" i="40" s="1"/>
  <c r="M32" i="40"/>
  <c r="N32" i="40"/>
  <c r="R16" i="34"/>
  <c r="R16" i="40" s="1"/>
  <c r="Q16" i="40"/>
  <c r="R15" i="34"/>
  <c r="R15" i="40" s="1"/>
  <c r="Q15" i="40"/>
  <c r="R14" i="34"/>
  <c r="R14" i="40" s="1"/>
  <c r="Q32" i="34"/>
  <c r="K45" i="34"/>
  <c r="K45" i="40" s="1"/>
  <c r="K47" i="34"/>
  <c r="K47" i="40" s="1"/>
  <c r="D24" i="14"/>
  <c r="I59" i="34"/>
  <c r="I47" i="40"/>
  <c r="H59" i="34"/>
  <c r="H64" i="34" s="1"/>
  <c r="H48" i="40"/>
  <c r="H59" i="40" s="1"/>
  <c r="N32" i="34"/>
  <c r="N46" i="34" s="1"/>
  <c r="N46" i="40" s="1"/>
  <c r="P48" i="34"/>
  <c r="E24" i="14"/>
  <c r="R47" i="34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S45" i="34" l="1"/>
  <c r="S47" i="40" s="1"/>
  <c r="Q45" i="34"/>
  <c r="Q45" i="40" s="1"/>
  <c r="Q46" i="34"/>
  <c r="Q46" i="40" s="1"/>
  <c r="M48" i="34"/>
  <c r="M48" i="40" s="1"/>
  <c r="Q32" i="40"/>
  <c r="R32" i="40" s="1"/>
  <c r="H72" i="33"/>
  <c r="R32" i="34"/>
  <c r="Q47" i="34"/>
  <c r="Q47" i="40" s="1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G62" i="33"/>
  <c r="A79" i="33"/>
  <c r="R45" i="34" l="1"/>
  <c r="R47" i="40" s="1"/>
  <c r="G63" i="33"/>
  <c r="H63" i="33" s="1"/>
  <c r="Q48" i="34"/>
  <c r="Q48" i="40" s="1"/>
  <c r="Q59" i="40" s="1"/>
  <c r="Q64" i="40" s="1"/>
  <c r="I63" i="40"/>
  <c r="P64" i="34"/>
  <c r="P61" i="34"/>
  <c r="B16" i="14" s="1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P21" i="33"/>
  <c r="Q21" i="33" s="1"/>
  <c r="H48" i="33"/>
  <c r="Q14" i="33"/>
  <c r="L48" i="33"/>
  <c r="L62" i="33" s="1"/>
  <c r="G61" i="33"/>
  <c r="G64" i="33" s="1"/>
  <c r="G75" i="33" s="1"/>
  <c r="Q62" i="33"/>
  <c r="H62" i="33"/>
  <c r="Q63" i="33" l="1"/>
  <c r="R48" i="34"/>
  <c r="O61" i="33"/>
  <c r="O63" i="33"/>
  <c r="Q63" i="40"/>
  <c r="R63" i="40" s="1"/>
  <c r="Q59" i="34"/>
  <c r="Q63" i="34" s="1"/>
  <c r="R63" i="34" s="1"/>
  <c r="S61" i="34"/>
  <c r="H5" i="34"/>
  <c r="S59" i="34"/>
  <c r="S61" i="40" s="1"/>
  <c r="G24" i="14"/>
  <c r="K63" i="34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M20" i="33"/>
  <c r="M14" i="33"/>
  <c r="P48" i="33"/>
  <c r="M16" i="33"/>
  <c r="J48" i="33"/>
  <c r="J62" i="33" s="1"/>
  <c r="M18" i="33"/>
  <c r="H61" i="33"/>
  <c r="H64" i="33" s="1"/>
  <c r="H75" i="33" s="1"/>
  <c r="Q61" i="33"/>
  <c r="G79" i="33"/>
  <c r="G80" i="33"/>
  <c r="B10" i="33"/>
  <c r="Q48" i="33" l="1"/>
  <c r="P62" i="33"/>
  <c r="O64" i="33"/>
  <c r="O75" i="33" s="1"/>
  <c r="O80" i="33" s="1"/>
  <c r="R59" i="34"/>
  <c r="R61" i="40" s="1"/>
  <c r="Q64" i="34"/>
  <c r="R64" i="34" s="1"/>
  <c r="N64" i="34"/>
  <c r="N64" i="40"/>
  <c r="N63" i="40"/>
  <c r="L64" i="33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 s="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 s="1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1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2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H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500-000004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3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 xr:uid="{00000000-0006-0000-06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Glenn Berry</author>
    <author>maurm</author>
  </authors>
  <commentList>
    <comment ref="B14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 xr:uid="{00000000-0006-0000-0800-000005000000}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 xr:uid="{00000000-0006-0000-0800-000006000000}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<sst xmlns="http://schemas.openxmlformats.org/spreadsheetml/2006/main" count="941" uniqueCount="271">
  <si>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</si>
  <si>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</si>
  <si>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</si>
  <si>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</si>
  <si>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</si>
  <si>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</si>
  <si>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</si>
  <si>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</si>
  <si>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</si>
  <si>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</si>
  <si>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</si>
  <si>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</si>
  <si>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</si>
  <si>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</si>
  <si>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</si>
  <si>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</si>
  <si>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</si>
  <si>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</si>
  <si>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</si>
  <si>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</si>
  <si>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</si>
  <si>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</si>
  <si>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</si>
  <si>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</si>
  <si>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</si>
  <si>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</si>
  <si>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</si>
  <si>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</si>
  <si>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</si>
  <si>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</si>
  <si>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</si>
  <si>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</si>
  <si>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</si>
  <si>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</si>
  <si>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</si>
  <si>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</si>
  <si>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</si>
  <si>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</si>
  <si>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</si>
  <si>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</si>
  <si>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</si>
  <si>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</si>
  <si>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</si>
  <si>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</si>
  <si>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</si>
  <si>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</si>
  <si>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</si>
  <si>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</si>
  <si>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</si>
  <si>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</si>
  <si>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</si>
  <si>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</si>
  <si>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</si>
  <si>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</si>
  <si>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</si>
  <si>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</si>
  <si>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</si>
  <si>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</si>
  <si>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</si>
  <si>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</si>
  <si>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</si>
  <si>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</si>
  <si>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</si>
  <si>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</si>
  <si>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</si>
  <si>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</si>
  <si>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</si>
  <si>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</si>
  <si>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</si>
  <si>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</si>
  <si>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</si>
  <si>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</si>
  <si>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</si>
  <si>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</si>
  <si>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</si>
  <si>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</si>
  <si>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</si>
  <si>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</si>
  <si>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</si>
  <si>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</si>
  <si>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</si>
  <si>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</si>
  <si>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</si>
  <si>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</si>
  <si>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</si>
  <si>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</si>
  <si>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</si>
  <si>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</si>
  <si>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</si>
  <si>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</si>
  <si>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</si>
  <si>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</si>
  <si>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</si>
  <si>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</si>
  <si>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</si>
  <si>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</si>
  <si>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</si>
  <si>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</si>
  <si>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</si>
  <si>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</si>
  <si>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</si>
  <si>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</si>
  <si>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</si>
  <si>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</si>
  <si>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</si>
  <si>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</si>
  <si>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</si>
  <si>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</si>
  <si>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</si>
  <si>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</si>
  <si>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</si>
  <si>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</si>
  <si>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</si>
  <si>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</si>
  <si>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</si>
  <si>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</si>
  <si>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</si>
  <si>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</si>
  <si>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</si>
  <si>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</si>
  <si>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</si>
  <si>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</si>
  <si>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</si>
  <si>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</si>
  <si>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</si>
  <si>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</si>
  <si>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</si>
  <si>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</si>
  <si>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</si>
  <si>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</si>
  <si>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</si>
  <si>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</si>
  <si>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</si>
  <si>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</si>
  <si>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</si>
  <si>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</si>
  <si>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</si>
  <si>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</si>
  <si>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</si>
  <si>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</si>
  <si>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</si>
  <si>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</si>
  <si>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</si>
  <si>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</si>
  <si>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</si>
  <si>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</si>
  <si>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</si>
  <si>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</si>
  <si>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</si>
  <si>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</si>
  <si>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</si>
  <si>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</si>
  <si>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</si>
  <si>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</si>
  <si>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</si>
  <si>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</si>
  <si>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</si>
  <si>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</si>
  <si>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</si>
  <si>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</si>
  <si>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</si>
  <si>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</si>
  <si>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</si>
  <si>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</si>
  <si>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</si>
  <si>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</si>
  <si>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</si>
  <si>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</si>
  <si>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</si>
  <si>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</si>
  <si>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</si>
  <si>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</si>
  <si>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</si>
  <si>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</si>
  <si>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</si>
  <si>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</si>
  <si>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</si>
  <si>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</si>
  <si>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</si>
  <si>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</si>
  <si>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</si>
  <si>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</si>
  <si>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</si>
  <si>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</si>
  <si>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</si>
  <si>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</si>
  <si>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</si>
  <si>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</si>
  <si>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</si>
  <si>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</si>
  <si>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</si>
  <si>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</si>
  <si>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</si>
  <si>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</si>
  <si>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</si>
  <si>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</si>
  <si>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</si>
  <si>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</si>
  <si>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</si>
  <si>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</si>
  <si>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</si>
  <si>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</si>
  <si>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</si>
  <si>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</si>
  <si>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</si>
  <si>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</si>
  <si>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</si>
  <si>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</si>
  <si>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</si>
  <si>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</si>
  <si>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</si>
  <si>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</si>
  <si>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</si>
  <si>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</si>
  <si>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</si>
  <si>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</si>
  <si>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</si>
  <si>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</si>
  <si>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</si>
  <si>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</si>
  <si>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</si>
  <si>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</si>
  <si>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</si>
  <si>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</si>
  <si>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</si>
  <si>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</si>
  <si>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</si>
  <si>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</si>
  <si>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</si>
  <si>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</si>
  <si>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</si>
  <si>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</si>
  <si>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</si>
  <si>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</si>
  <si>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</si>
  <si>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</si>
  <si>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</si>
  <si>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</si>
  <si>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</si>
  <si>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</si>
  <si>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</si>
  <si>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</si>
  <si>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</si>
  <si>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</si>
  <si>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</si>
  <si>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</si>
  <si>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</si>
  <si>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</si>
  <si>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</si>
  <si>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</si>
  <si>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</si>
  <si>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</si>
  <si>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</si>
  <si>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</si>
  <si>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</si>
  <si>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</si>
  <si>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</si>
  <si>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</si>
  <si>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</si>
  <si>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</si>
  <si>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</si>
  <si>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</si>
  <si>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</si>
  <si>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</si>
  <si>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</si>
  <si>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BSW v9</t>
  </si>
  <si>
    <t>PEGA</t>
  </si>
  <si>
    <t>AGILE</t>
  </si>
  <si>
    <t>Quote</t>
  </si>
  <si>
    <t>Full Implementation</t>
  </si>
  <si>
    <t>CLOUD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</si>
</sst>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 xr:uid="{00000000-0005-0000-0000-000002000000}"/>
    <cellStyle name="Header2" xfId="4" xr:uid="{00000000-0005-0000-0000-000003000000}"/>
    <cellStyle name="Normal" xfId="0" builtinId="0"/>
    <cellStyle name="Normal_BSW GHC CSS 16DEC05" xfId="5" xr:uid="{00000000-0005-0000-0000-000005000000}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R42"/>
  <sheetViews>
    <sheetView tabSelected="1" workbookViewId="0">
      <selection activeCell="B3" sqref="B3"/>
    </sheetView>
  </sheetViews>
  <sheetFormatPr defaultColWidth="9.33203125"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18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156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43101</v>
      </c>
      <c r="W7" s="42"/>
    </row>
    <row r="8" spans="1:23" x14ac:dyDescent="0.2">
      <c r="A8" s="2" t="s">
        <v>5</v>
      </c>
      <c r="B8" s="84">
        <f>MAX(BID!B7)</f>
        <v>43435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268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266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269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267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JPY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5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96670800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40826160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55844640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0.57767847167914199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JAPAN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4128</v>
      </c>
      <c r="C24" s="79">
        <f>BID!P32+BID!P43</f>
        <v>85929600</v>
      </c>
      <c r="D24" s="79">
        <f>BID!P47+BID!P46</f>
        <v>0</v>
      </c>
      <c r="E24" s="79">
        <f>BID!P45</f>
        <v>10741200</v>
      </c>
      <c r="F24" s="79"/>
      <c r="G24" s="112">
        <f>BID!P61</f>
        <v>96670800</v>
      </c>
      <c r="H24" s="79">
        <f>BID!K59</f>
        <v>96670800</v>
      </c>
      <c r="I24" s="79">
        <f>BID!M59</f>
        <v>40826160</v>
      </c>
      <c r="J24" s="79">
        <f>G24-I24</f>
        <v>55844640</v>
      </c>
      <c r="K24" s="151">
        <f>IF(G24&gt;0,J24/G24,0)</f>
        <v>0.57767847167914199</v>
      </c>
      <c r="L24" s="195">
        <f>IF(B24&gt;0,G24/B24,0)</f>
        <v>23418.31395348837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4128</v>
      </c>
      <c r="C27" s="80">
        <f>SUM(C24:C26)</f>
        <v>85929600</v>
      </c>
      <c r="D27" s="80">
        <f>SUM(D24:D26)</f>
        <v>0</v>
      </c>
      <c r="E27" s="80">
        <f>SUM(E24:E26)</f>
        <v>10741200</v>
      </c>
      <c r="F27" s="80"/>
      <c r="G27" s="114">
        <f>SUM(G24:G26)</f>
        <v>96670800</v>
      </c>
      <c r="H27" s="80">
        <f>SUM(H24:H26)</f>
        <v>96670800</v>
      </c>
      <c r="I27" s="80">
        <f>SUM(I24:I26)</f>
        <v>40826160</v>
      </c>
      <c r="J27" s="81">
        <f>G27-I27</f>
        <v>55844640</v>
      </c>
      <c r="K27" s="154">
        <f>IF(G27&gt;0,J27/G27,0)</f>
        <v>0.57767847167914199</v>
      </c>
      <c r="L27" s="196">
        <f>IF(B27&gt;0,G27/B27,0)</f>
        <v>23418.31395348837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sheetProtection sheet="1" objects="1" scenarios="1"/>
  <phoneticPr fontId="7" type="noConversion"/>
  <dataValidations count="8">
    <dataValidation type="list" showInputMessage="1" showErrorMessage="1" sqref="B9" xr:uid="{00000000-0002-0000-0000-000000000000}">
      <formula1>"Quote, Estimate, SELECT ONE"</formula1>
    </dataValidation>
    <dataValidation type="list" showInputMessage="1" showErrorMessage="1" sqref="B5" xr:uid="{00000000-0002-0000-0000-000001000000}">
      <formula1>"T&amp;M, Fixed Price, SELECT ONE"</formula1>
    </dataValidation>
    <dataValidation type="list" showInputMessage="1" showErrorMessage="1" sqref="B10" xr:uid="{00000000-0002-0000-0000-000002000000}">
      <formula1>"Y,N,SELECT ONE"</formula1>
    </dataValidation>
    <dataValidation type="list" showInputMessage="1" showErrorMessage="1" sqref="B11" xr:uid="{00000000-0002-0000-0000-000003000000}">
      <formula1>"SELECT ONE, CUSTOMER, PEGA, PARTNER, PLPP"</formula1>
    </dataValidation>
    <dataValidation showInputMessage="1" showErrorMessage="1" sqref="B14" xr:uid="{00000000-0002-0000-0000-000004000000}"/>
    <dataValidation type="list" showInputMessage="1" showErrorMessage="1" sqref="B13" xr:uid="{00000000-0002-0000-0000-000005000000}">
      <formula1>"SELECT ONE,AGILE, SCRUM, WATERFALL, OTHER, Not Applicable"</formula1>
    </dataValidation>
    <dataValidation type="list" showInputMessage="1" showErrorMessage="1" sqref="B12" xr:uid="{00000000-0002-0000-0000-000006000000}">
      <formula1>"SELECT ONE,Full Implementation, Staff Augmentation, Service Product"</formula1>
    </dataValidation>
    <dataValidation type="list" showInputMessage="1" showErrorMessage="1" sqref="B15" xr:uid="{00000000-0002-0000-0000-000007000000}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8000000}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ColWidth="9.33203125"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CLOUD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JAPAN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43219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43314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JPY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/>
      </c>
      <c r="C15" s="303"/>
      <c r="D15" s="303">
        <f>IF(INVESTMENT!D15="","",INVESTMENT!D15)</f>
        <v>2</v>
      </c>
      <c r="E15" s="304">
        <f>IF(INVESTMENT!E15="","",INVESTMENT!E15)</f>
        <v>43219</v>
      </c>
      <c r="F15" s="304">
        <f>IF(INVESTMENT!F15="","",INVESTMENT!F15)</f>
        <v>43313</v>
      </c>
      <c r="G15" s="451">
        <f>IF(INVESTMENT!G15="","",INVESTMENT!G15)</f>
        <v>1</v>
      </c>
      <c r="H15" s="305">
        <f>INVESTMENT!H15</f>
        <v>68</v>
      </c>
      <c r="I15" s="306">
        <f>INVESTMENT!I15</f>
        <v>544</v>
      </c>
      <c r="J15" s="307">
        <f>INVESTMENT!J15</f>
        <v>25000</v>
      </c>
      <c r="K15" s="308">
        <f>INVESTMENT!K15</f>
        <v>13600000</v>
      </c>
      <c r="L15" s="309">
        <f>INVESTMENT!L15</f>
        <v>11841</v>
      </c>
      <c r="M15" s="309">
        <f>INVESTMENT!M15</f>
        <v>6441504</v>
      </c>
      <c r="N15" s="308">
        <f>INVESTMENT!N15</f>
        <v>7158496</v>
      </c>
      <c r="O15" s="307">
        <f>INVESTMENT!O15</f>
        <v>300</v>
      </c>
      <c r="P15" s="309">
        <f>INVESTMENT!P15</f>
        <v>163200</v>
      </c>
      <c r="Q15" s="308">
        <f>INVESTMENT!Q15</f>
        <v>-6278304</v>
      </c>
      <c r="R15" s="310">
        <f>INVESTMENT!R15</f>
        <v>-38.47</v>
      </c>
      <c r="S15" s="311">
        <f>INVESTMENT!S15</f>
        <v>0.98799999999999999</v>
      </c>
      <c r="T15" s="284"/>
      <c r="U15" s="284" t="str">
        <f t="shared" ref="U15:U31" si="0">IF(ISBLANK(A15),"",CONCATENATE(C15,"-",$B$6))</f>
        <v>-JAPAN</v>
      </c>
      <c r="Y15" s="284" t="s">
        <v>155</v>
      </c>
    </row>
    <row r="16" spans="1:148" outlineLevel="1" x14ac:dyDescent="0.2">
      <c r="A16" s="284" t="str">
        <f>IF(INVESTMENT!A16="","",INVESTMENT!A16)</f>
        <v>EL</v>
      </c>
      <c r="B16" s="284" t="str">
        <f>IF(INVESTMENT!B16="","",INVESTMENT!B16)</f>
        <v/>
      </c>
      <c r="C16" s="284"/>
      <c r="D16" s="284">
        <f>IF(INVESTMENT!D16="","",INVESTMENT!D16)</f>
        <v>2</v>
      </c>
      <c r="E16" s="313">
        <f>IF(INVESTMENT!E16="","",INVESTMENT!E16)</f>
        <v>43219</v>
      </c>
      <c r="F16" s="313">
        <f>IF(INVESTMENT!F16="","",INVESTMENT!F16)</f>
        <v>43314</v>
      </c>
      <c r="G16" s="452">
        <f>IF(INVESTMENT!G16="","",INVESTMENT!G16)</f>
        <v>1</v>
      </c>
      <c r="H16" s="315">
        <f>INVESTMENT!H16</f>
        <v>69</v>
      </c>
      <c r="I16" s="316">
        <f>INVESTMENT!I16</f>
        <v>552</v>
      </c>
      <c r="J16" s="272">
        <f>INVESTMENT!J16</f>
        <v>23005</v>
      </c>
      <c r="K16" s="317">
        <f>INVESTMENT!K16</f>
        <v>12698760</v>
      </c>
      <c r="L16" s="273">
        <f>INVESTMENT!L16</f>
        <v>10135</v>
      </c>
      <c r="M16" s="273">
        <f>INVESTMENT!M16</f>
        <v>5594520</v>
      </c>
      <c r="N16" s="317">
        <f>INVESTMENT!N16</f>
        <v>7104240</v>
      </c>
      <c r="O16" s="272">
        <f>INVESTMENT!O16</f>
        <v>200</v>
      </c>
      <c r="P16" s="273">
        <f>INVESTMENT!P16</f>
        <v>110400</v>
      </c>
      <c r="Q16" s="317">
        <f>INVESTMENT!Q16</f>
        <v>-5484120</v>
      </c>
      <c r="R16" s="318">
        <f>INVESTMENT!R16</f>
        <v>-49.674999999999997</v>
      </c>
      <c r="S16" s="314">
        <f>INVESTMENT!S16</f>
        <v>0.99130623777439686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-JAPAN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-JAPAN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-JAPAN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-JAPAN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-JAPAN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-JAPAN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-JAPAN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-JAPAN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-JAPAN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137</v>
      </c>
      <c r="I32" s="330">
        <f>SUM(I15:I31)</f>
        <v>1096</v>
      </c>
      <c r="J32" s="269"/>
      <c r="K32" s="331">
        <f>SUM(K15:K31)</f>
        <v>26298760</v>
      </c>
      <c r="L32" s="332"/>
      <c r="M32" s="332">
        <f>SUM(M15:M31)</f>
        <v>12036024</v>
      </c>
      <c r="N32" s="331">
        <f>SUM(N15:N31)</f>
        <v>14262736</v>
      </c>
      <c r="P32" s="332">
        <f>SUM(P15:P31)</f>
        <v>273600</v>
      </c>
      <c r="Q32" s="331">
        <f>SUM(Q15:Q31)</f>
        <v>-11762424</v>
      </c>
      <c r="R32" s="333">
        <f>IF(H32=0,"",Q32/P32)</f>
        <v>-42.991315789473681</v>
      </c>
      <c r="S32" s="292">
        <f>IF(H32=0,"",1-P32/K32)</f>
        <v>0.98959646766615617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-JAPAN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-JAPAN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-JAPAN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-JAPAN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-JAPAN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-JAPAN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-JAPAN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137</v>
      </c>
      <c r="I48" s="342">
        <f>INVESTMENT!I48</f>
        <v>1096</v>
      </c>
      <c r="J48" s="269"/>
      <c r="K48" s="341">
        <f>INVESTMENT!K48</f>
        <v>26298760</v>
      </c>
      <c r="L48" s="332"/>
      <c r="M48" s="341">
        <f>M32+M43+M45+M46+M47</f>
        <v>12036024</v>
      </c>
      <c r="N48" s="341">
        <f>N32+N43+N45+N47+N58+N46</f>
        <v>14262736</v>
      </c>
      <c r="P48" s="341">
        <f>P32+P43+P45+P46+P47</f>
        <v>273600</v>
      </c>
      <c r="Q48" s="341">
        <f>Q32+Q43+Q45+Q47+Q58+Q46</f>
        <v>-11762424</v>
      </c>
      <c r="R48" s="333">
        <f>IF(ISBLANK(A48),"",IF(P48&gt;0,Q48/P48,0))</f>
        <v>-42.991315789473681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137</v>
      </c>
      <c r="I59" s="330">
        <f>I48+I56</f>
        <v>1096</v>
      </c>
      <c r="J59" s="269"/>
      <c r="K59" s="331">
        <f>K48</f>
        <v>26298760</v>
      </c>
      <c r="L59" s="332"/>
      <c r="M59" s="332">
        <f>M48+M58</f>
        <v>12036024</v>
      </c>
      <c r="N59" s="331">
        <f>N48</f>
        <v>14262736</v>
      </c>
      <c r="P59" s="332">
        <f>P48+P58</f>
        <v>273600</v>
      </c>
      <c r="Q59" s="331">
        <f>INVESTMENT!Q59</f>
        <v>-11762424</v>
      </c>
      <c r="R59" s="333">
        <f>INVESTMENT!R59</f>
        <v>-42.991315789473681</v>
      </c>
      <c r="S59" s="292">
        <f>INVESTMENT!S59</f>
        <v>0.98959646766615617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273600</v>
      </c>
      <c r="Q61" s="281">
        <f>INVESTMENT!Q61</f>
        <v>-11762424</v>
      </c>
      <c r="R61" s="351">
        <f>INVESTMENT!R61</f>
        <v>-42.991315789473681</v>
      </c>
      <c r="S61" s="352">
        <f>INVESTMENT!S61</f>
        <v>0.98959646766615617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130.15</v>
      </c>
      <c r="I63" s="330">
        <f>INVESTMENT!I63</f>
        <v>1041.2</v>
      </c>
      <c r="J63" s="269"/>
      <c r="K63" s="331">
        <f>INVESTMENT!K63</f>
        <v>24983822</v>
      </c>
      <c r="L63" s="332"/>
      <c r="M63" s="331">
        <f>INVESTMENT!M63</f>
        <v>11434222.799999999</v>
      </c>
      <c r="N63" s="331">
        <f>INVESTMENT!N63</f>
        <v>13549599.199999999</v>
      </c>
      <c r="O63" s="291"/>
      <c r="P63" s="332">
        <f>INVESTMENT!P63</f>
        <v>259920</v>
      </c>
      <c r="Q63" s="331">
        <f>INVESTMENT!Q63</f>
        <v>-11174302.799999999</v>
      </c>
      <c r="R63" s="333">
        <f>INVESTMENT!R63</f>
        <v>-42.991315789473681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164.4</v>
      </c>
      <c r="I64" s="330">
        <f>INVESTMENT!I64</f>
        <v>1315.2</v>
      </c>
      <c r="J64" s="269"/>
      <c r="K64" s="331">
        <f>INVESTMENT!K64</f>
        <v>31558512</v>
      </c>
      <c r="L64" s="332"/>
      <c r="M64" s="331">
        <f>INVESTMENT!M64</f>
        <v>14443228.799999999</v>
      </c>
      <c r="N64" s="331">
        <f>INVESTMENT!N64</f>
        <v>17115283.199999999</v>
      </c>
      <c r="O64" s="291"/>
      <c r="P64" s="332">
        <f>INVESTMENT!P64</f>
        <v>328320</v>
      </c>
      <c r="Q64" s="331">
        <f>INVESTMENT!Q64</f>
        <v>-14114908.799999999</v>
      </c>
      <c r="R64" s="333">
        <f>INVESTMENT!R64</f>
        <v>-42.991315789473681</v>
      </c>
      <c r="S64" s="292"/>
    </row>
    <row r="65" spans="10:10" x14ac:dyDescent="0.2">
      <c r="J65" s="269"/>
    </row>
  </sheetData>
  <sheetProtection sheet="1" objects="1" scenarios="1" sort="0" autoFilter="0" pivotTables="0"/>
  <mergeCells count="1">
    <mergeCell ref="A32:B32"/>
  </mergeCells>
  <dataValidations count="9">
    <dataValidation type="decimal" allowBlank="1" showInputMessage="1" showErrorMessage="1" sqref="G36:G42" xr:uid="{00000000-0002-0000-0100-000000000000}">
      <formula1>0</formula1>
      <formula2>9</formula2>
    </dataValidation>
    <dataValidation type="list" allowBlank="1" showInputMessage="1" showErrorMessage="1" sqref="C36:C42 C15:C31" xr:uid="{00000000-0002-0000-0100-000001000000}">
      <formula1>"APAC, EU, NA, SELECT ONE, ERROR"</formula1>
    </dataValidation>
    <dataValidation type="list" allowBlank="1" showInputMessage="1" showErrorMessage="1" sqref="B5" xr:uid="{00000000-0002-0000-0100-000002000000}">
      <formula1>"T&amp;M, Fixed Price, NSC, SELECT ONE"</formula1>
    </dataValidation>
    <dataValidation type="date" operator="greaterThanOrEqual" allowBlank="1" showInputMessage="1" showErrorMessage="1" sqref="E51:E52 E36:F36 E53:F55 E15:F30" xr:uid="{00000000-0002-0000-0100-000003000000}">
      <formula1>38353</formula1>
    </dataValidation>
    <dataValidation type="whole" showInputMessage="1" showErrorMessage="1" sqref="B10:D10" xr:uid="{00000000-0002-0000-0100-000004000000}">
      <formula1>8</formula1>
      <formula2>9</formula2>
    </dataValidation>
    <dataValidation type="date" operator="greaterThan" allowBlank="1" showInputMessage="1" showErrorMessage="1" sqref="F51:F52" xr:uid="{00000000-0002-0000-0100-000005000000}">
      <formula1>38353</formula1>
    </dataValidation>
    <dataValidation type="list" showInputMessage="1" showErrorMessage="1" sqref="C5:D5" xr:uid="{00000000-0002-0000-0100-000006000000}">
      <formula1>"T&amp;M, Fixed Price, SELECT ONE"</formula1>
    </dataValidation>
    <dataValidation type="list" showInputMessage="1" showErrorMessage="1" sqref="C9:D9" xr:uid="{00000000-0002-0000-0100-000007000000}">
      <formula1>"Quote, Estimate, SELECT ONE"</formula1>
    </dataValidation>
    <dataValidation type="decimal" allowBlank="1" showInputMessage="1" showErrorMessage="1" sqref="G51" xr:uid="{00000000-0002-0000-0100-000008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ColWidth="9.33203125"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CLOUD</v>
      </c>
      <c r="C2" s="137"/>
      <c r="D2" s="137"/>
      <c r="W2" s="382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Fixed Price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JAPAN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43101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43435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JPY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255</v>
      </c>
      <c r="C13" s="393" t="s">
        <v>91</v>
      </c>
      <c r="D13" s="393" t="s">
        <v>253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LSA</v>
      </c>
      <c r="B14" s="190" t="str">
        <f>IF(BID!B14="","",BID!B14)</f>
        <v>BSW v9</v>
      </c>
      <c r="C14" s="137"/>
      <c r="D14" s="401">
        <f>IF(BID!D14="","",BID!D14)</f>
        <v>1</v>
      </c>
      <c r="E14" s="402">
        <f>IF(BID!E14="","",BID!E14)</f>
        <v>43101</v>
      </c>
      <c r="F14" s="402">
        <f>IF(BID!F14="","",BID!F14)</f>
        <v>43435</v>
      </c>
      <c r="G14" s="403">
        <f>IF(BID!G14="","",BID!G14)</f>
        <v>1</v>
      </c>
      <c r="H14" s="404">
        <f>IF(BID!H14="","",BID!H14)</f>
        <v>240</v>
      </c>
      <c r="I14" s="404">
        <f>IF(BID!I14="","",BID!I14)</f>
        <v>1920</v>
      </c>
      <c r="J14" s="404">
        <f>IF(BID!J14="","",BID!J14)</f>
        <v>21750</v>
      </c>
      <c r="K14" s="405">
        <f>IF(BID!K14="","",BID!K14)</f>
        <v>41760000</v>
      </c>
      <c r="L14" s="217">
        <f>IF(BID!L14="","",BID!L14)</f>
        <v>8766</v>
      </c>
      <c r="M14" s="405">
        <f>IF(BID!M14="","",BID!M14)</f>
        <v>16830720</v>
      </c>
      <c r="N14" s="405">
        <f>IF(BID!N14="","",BID!N14)</f>
        <v>24929280</v>
      </c>
      <c r="O14" s="217">
        <f>IF(BID!O14="","",BID!O14)</f>
        <v>21750</v>
      </c>
      <c r="P14" s="405">
        <f>IF(BID!P14="","",BID!P14)</f>
        <v>41760000</v>
      </c>
      <c r="Q14" s="405">
        <f>IF(BID!Q14="","",BID!Q14)</f>
        <v>24929280</v>
      </c>
      <c r="R14" s="406">
        <f>IF(BID!R14="","",BID!R14)</f>
        <v>0.59696551724137936</v>
      </c>
      <c r="S14" s="407">
        <f>IF(BID!S14="","",BID!S14)</f>
        <v>0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-JAPAN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EL</v>
      </c>
      <c r="B15" s="190" t="str">
        <f>IF(BID!B15="","",BID!B15)</f>
        <v/>
      </c>
      <c r="C15" s="137"/>
      <c r="D15" s="401">
        <f>IF(BID!D15="","",BID!D15)</f>
        <v>1</v>
      </c>
      <c r="E15" s="402">
        <f>IF(BID!E15="","",BID!E15)</f>
        <v>43101</v>
      </c>
      <c r="F15" s="402">
        <f>IF(BID!F15="","",BID!F15)</f>
        <v>43435</v>
      </c>
      <c r="G15" s="403">
        <f>IF(BID!G15="","",BID!G15)</f>
        <v>1</v>
      </c>
      <c r="H15" s="404">
        <f>IF(BID!H15="","",BID!H15)</f>
        <v>240</v>
      </c>
      <c r="I15" s="404">
        <f>IF(BID!I15="","",BID!I15)</f>
        <v>1920</v>
      </c>
      <c r="J15" s="404">
        <f>IF(BID!J15="","",BID!J15)</f>
        <v>23005</v>
      </c>
      <c r="K15" s="405">
        <f>IF(BID!K15="","",BID!K15)</f>
        <v>44169600</v>
      </c>
      <c r="L15" s="217">
        <f>IF(BID!L15="","",BID!L15)</f>
        <v>10135</v>
      </c>
      <c r="M15" s="405">
        <f>IF(BID!M15="","",BID!M15)</f>
        <v>19459200</v>
      </c>
      <c r="N15" s="405">
        <f>IF(BID!N15="","",BID!N15)</f>
        <v>24710400</v>
      </c>
      <c r="O15" s="217">
        <f>IF(BID!O15="","",BID!O15)</f>
        <v>23005</v>
      </c>
      <c r="P15" s="405">
        <f>IF(BID!P15="","",BID!P15)</f>
        <v>44169600</v>
      </c>
      <c r="Q15" s="405">
        <f>IF(BID!Q15="","",BID!Q15)</f>
        <v>24710400</v>
      </c>
      <c r="R15" s="406">
        <f>IF(BID!R15="","",BID!R15)</f>
        <v>0.55944359921756137</v>
      </c>
      <c r="S15" s="407">
        <f>IF(BID!S15="","",BID!S15)</f>
        <v>0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 t="str">
        <f>IF(BID!G16="","",BID!G16)</f>
        <v/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 t="str">
        <f>IF(BID!O16="","",BID!O16)</f>
        <v/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 t="str">
        <f>IF(BID!O17="","",BID!O17)</f>
        <v/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 t="str">
        <f>IF(BID!O18="","",BID!O18)</f>
        <v/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-JAPAN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-JAPAN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-JAPAN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-JAPAN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-JAPAN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-JAPAN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-JAPAN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-JAPAN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-JAPAN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480</v>
      </c>
      <c r="I32" s="412">
        <f>SUM(I14:I31)</f>
        <v>3840</v>
      </c>
      <c r="J32" s="33"/>
      <c r="K32" s="413">
        <f>SUM(K14:K31)</f>
        <v>85929600</v>
      </c>
      <c r="L32" s="215"/>
      <c r="M32" s="215">
        <f>SUM(M14:M31)</f>
        <v>36289920</v>
      </c>
      <c r="N32" s="413">
        <f>SUM(N14:N31)</f>
        <v>49639680</v>
      </c>
      <c r="P32" s="215">
        <f>SUM(P14:P31)</f>
        <v>85929600</v>
      </c>
      <c r="Q32" s="413">
        <f>SUM(Q14:Q31)</f>
        <v>49639680</v>
      </c>
      <c r="R32" s="414">
        <f>IF(H32=0,"",Q32/P32)</f>
        <v>0.57767847167914199</v>
      </c>
      <c r="S32" s="51">
        <f>IF(H32=0,"",1-P32/K32)</f>
        <v>0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-JAPAN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-JAPAN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-JAPAN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-JAPAN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-JAPAN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-JAPAN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-JAPAN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36</v>
      </c>
      <c r="I45" s="422">
        <f>BID!I45</f>
        <v>288</v>
      </c>
      <c r="J45" s="33"/>
      <c r="K45" s="421">
        <f>BID!K45</f>
        <v>10741200</v>
      </c>
      <c r="L45" s="215"/>
      <c r="M45" s="421">
        <f>BID!M45</f>
        <v>4536240</v>
      </c>
      <c r="N45" s="421">
        <f>BID!N45</f>
        <v>6204960</v>
      </c>
      <c r="P45" s="421">
        <f>BID!P45</f>
        <v>10741200</v>
      </c>
      <c r="Q45" s="421">
        <f>BID!Q45</f>
        <v>6204960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>
        <f>BID!R45</f>
        <v>0.57767847167914199</v>
      </c>
      <c r="S47" s="414">
        <f>BID!S45</f>
        <v>0</v>
      </c>
    </row>
    <row r="48" spans="1:148" x14ac:dyDescent="0.2">
      <c r="A48" s="388" t="s">
        <v>141</v>
      </c>
      <c r="H48" s="421">
        <f>BID!H48</f>
        <v>516</v>
      </c>
      <c r="I48" s="422">
        <f>BID!I48</f>
        <v>4128</v>
      </c>
      <c r="J48" s="33"/>
      <c r="K48" s="421">
        <f>BID!K48</f>
        <v>96670800</v>
      </c>
      <c r="L48" s="215"/>
      <c r="M48" s="421">
        <f>BID!M48</f>
        <v>40826160</v>
      </c>
      <c r="N48" s="421">
        <f>BID!N48</f>
        <v>55844640</v>
      </c>
      <c r="P48" s="421">
        <f>BID!P48</f>
        <v>96670800</v>
      </c>
      <c r="Q48" s="421">
        <f>BID!Q48</f>
        <v>55844640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516</v>
      </c>
      <c r="I59" s="412">
        <f>I48+I56</f>
        <v>4128</v>
      </c>
      <c r="J59" s="33"/>
      <c r="K59" s="413">
        <f>K48</f>
        <v>96670800</v>
      </c>
      <c r="L59" s="215"/>
      <c r="M59" s="215">
        <f>M48+M58</f>
        <v>40826160</v>
      </c>
      <c r="N59" s="413">
        <f>N48</f>
        <v>55844640</v>
      </c>
      <c r="P59" s="215">
        <f>P48+P58</f>
        <v>96670800</v>
      </c>
      <c r="Q59" s="413">
        <f>Q48</f>
        <v>55844640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96670800</v>
      </c>
      <c r="Q61" s="67">
        <f>P61-M59</f>
        <v>55844640</v>
      </c>
      <c r="R61" s="414">
        <f>BID!R59</f>
        <v>0.57767847167914199</v>
      </c>
      <c r="S61" s="414">
        <f>BID!S59</f>
        <v>0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/>
      </c>
      <c r="H63" s="412">
        <f>H59*(1-$G$8)</f>
        <v>490.2</v>
      </c>
      <c r="I63" s="412">
        <f>I59*(1-$G$8)</f>
        <v>3921.6</v>
      </c>
      <c r="J63" s="33"/>
      <c r="K63" s="413">
        <f>K59*(1-$G$8)</f>
        <v>91837260</v>
      </c>
      <c r="L63" s="215"/>
      <c r="M63" s="215">
        <f>M59*(1-$G$8)</f>
        <v>38784852</v>
      </c>
      <c r="N63" s="413">
        <f>N59*(1-$G$8)</f>
        <v>53052408</v>
      </c>
      <c r="O63" s="386"/>
      <c r="P63" s="215">
        <f>P59*(1-$G$8)</f>
        <v>91837260</v>
      </c>
      <c r="Q63" s="413">
        <f>Q59*(1-$G$8)</f>
        <v>53052408</v>
      </c>
      <c r="R63" s="414">
        <f>IF(ISBLANK(A63),"",IF(P63&gt;0,Q63/P63,0))</f>
        <v>0.57767847167914199</v>
      </c>
      <c r="S63" s="51"/>
    </row>
    <row r="64" spans="1:148" outlineLevel="1" x14ac:dyDescent="0.2">
      <c r="A64" s="126" t="str">
        <f>IF($B$8="Estimate","High Estimate","")</f>
        <v/>
      </c>
      <c r="H64" s="412">
        <f>H59*(1+$G$9)</f>
        <v>619.19999999999993</v>
      </c>
      <c r="I64" s="412">
        <f>I59*(1+$G$9)</f>
        <v>4953.5999999999995</v>
      </c>
      <c r="J64" s="33"/>
      <c r="K64" s="413">
        <f>K59*(1+$G$9)</f>
        <v>116004960</v>
      </c>
      <c r="L64" s="215"/>
      <c r="M64" s="215">
        <f>M59*(1+$G$9)</f>
        <v>48991392</v>
      </c>
      <c r="N64" s="413">
        <f>N59*(1+$G$9)</f>
        <v>67013568</v>
      </c>
      <c r="O64" s="386"/>
      <c r="P64" s="215">
        <f>P59*(1+$G$9)</f>
        <v>116004960</v>
      </c>
      <c r="Q64" s="413">
        <f>Q59*(1+$G$9)</f>
        <v>67013568</v>
      </c>
      <c r="R64" s="414">
        <f>IF(ISBLANK(A64),"",IF(P64&gt;0,Q64/P64,0))</f>
        <v>0.57767847167914199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 xr:uid="{00000000-0002-0000-0200-000000000000}">
      <formula1>0</formula1>
      <formula2>10</formula2>
    </dataValidation>
    <dataValidation type="decimal" allowBlank="1" showInputMessage="1" showErrorMessage="1" sqref="G51 G14:G31 G36:G42" xr:uid="{00000000-0002-0000-0200-000001000000}">
      <formula1>0</formula1>
      <formula2>1</formula2>
    </dataValidation>
    <dataValidation type="list" showInputMessage="1" showErrorMessage="1" sqref="C8:D8" xr:uid="{00000000-0002-0000-0200-000002000000}">
      <formula1>"Quote, Estimate, SELECT ONE"</formula1>
    </dataValidation>
    <dataValidation type="list" showInputMessage="1" showErrorMessage="1" sqref="C4:D4" xr:uid="{00000000-0002-0000-0200-000003000000}">
      <formula1>"T&amp;M, Fixed Price, SELECT ONE"</formula1>
    </dataValidation>
    <dataValidation type="date" operator="greaterThan" allowBlank="1" showInputMessage="1" showErrorMessage="1" sqref="F51:F52" xr:uid="{00000000-0002-0000-0200-000004000000}">
      <formula1>38353</formula1>
    </dataValidation>
    <dataValidation type="whole" showInputMessage="1" showErrorMessage="1" sqref="C9:D9" xr:uid="{00000000-0002-0000-0200-000005000000}">
      <formula1>8</formula1>
      <formula2>9</formula2>
    </dataValidation>
    <dataValidation type="date" operator="greaterThanOrEqual" allowBlank="1" showInputMessage="1" showErrorMessage="1" sqref="E51:E52 E53:F55 E14:F31 E36:F42" xr:uid="{00000000-0002-0000-0200-000006000000}">
      <formula1>38353</formula1>
    </dataValidation>
    <dataValidation type="list" showInputMessage="1" showErrorMessage="1" sqref="B10" xr:uid="{00000000-0002-0000-0200-000007000000}">
      <formula1>"SELECT ONE, APAC, EU, NA"</formula1>
    </dataValidation>
    <dataValidation type="list" allowBlank="1" showInputMessage="1" showErrorMessage="1" sqref="B4" xr:uid="{00000000-0002-0000-0200-000008000000}">
      <formula1>"T&amp;M, Fixed Price, SELECT ONE"</formula1>
    </dataValidation>
    <dataValidation type="list" allowBlank="1" showInputMessage="1" showErrorMessage="1" sqref="C14:C31" xr:uid="{00000000-0002-0000-0200-000009000000}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B6"/>
  <sheetViews>
    <sheetView workbookViewId="0">
      <selection activeCell="G19" sqref="G19"/>
    </sheetView>
  </sheetViews>
  <sheetFormatPr defaultColWidth="9.33203125"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4" sqref="B4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CLOUD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JAPAN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43101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v>43435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268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JPY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213</v>
      </c>
      <c r="B14" s="156" t="s">
        <v>265</v>
      </c>
      <c r="C14" s="86"/>
      <c r="D14" s="372">
        <v>1</v>
      </c>
      <c r="E14" s="157">
        <v>43101</v>
      </c>
      <c r="F14" s="157">
        <v>43435</v>
      </c>
      <c r="G14" s="158">
        <v>1</v>
      </c>
      <c r="H14" s="159">
        <f>IF(D14&gt;0,IF(ISBLANK(A14),"",(NETWORKDAYS(E14,F14)*G14)*D14),"")</f>
        <v>240</v>
      </c>
      <c r="I14" s="160">
        <f t="shared" ref="I14:I31" si="0">IF(ISBLANK(A14),"",H14*$B$9)</f>
        <v>1920</v>
      </c>
      <c r="J14" s="172">
        <f>IF(ISBLANK(A14),"",VLOOKUP(A14,gsrates!$A$3:$AK$38,VLOOKUP($B$5,gsrates!$A$41:$C$58,2,FALSE),FALSE))</f>
        <v>21750</v>
      </c>
      <c r="K14" s="79">
        <f t="shared" ref="K14:K31" si="1">IF(ISBLANK(A14),"",I14*J14)</f>
        <v>41760000</v>
      </c>
      <c r="L14" s="203">
        <f>IF(ISBLANK(A14),"",VLOOKUP(A14,gsrates!$A$3:$AK$38,VLOOKUP($B$5,gsrates!$A$41:$C$58,3,FALSE),FALSE))</f>
        <v>8766</v>
      </c>
      <c r="M14" s="203">
        <f t="shared" ref="M14:M31" si="2">IF(ISBLANK(A14),"",L14*H14*8)</f>
        <v>16830720</v>
      </c>
      <c r="N14" s="79">
        <f t="shared" ref="N14:N31" si="3">IF(ISBLANK(A14),"",K14-M14)</f>
        <v>24929280</v>
      </c>
      <c r="O14" s="173">
        <v>21750</v>
      </c>
      <c r="P14" s="203">
        <f t="shared" ref="P14:P31" si="4">IF(ISBLANK(A14),"",H14*O14*$B$9)</f>
        <v>41760000</v>
      </c>
      <c r="Q14" s="79">
        <f t="shared" ref="Q14:Q31" si="5">IF(ISBLANK(A14),"",P14-M14)</f>
        <v>24929280</v>
      </c>
      <c r="R14" s="151">
        <f t="shared" ref="R14:R31" si="6">IF(ISBLANK(A14),"",Q14/P14)</f>
        <v>0.59696551724137936</v>
      </c>
      <c r="S14" s="162">
        <f t="shared" ref="S14:S31" si="7">IF(ISBLANK(A14),"",1-P14/K14)</f>
        <v>0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-JAPAN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210</v>
      </c>
      <c r="B15" s="156"/>
      <c r="C15" s="86"/>
      <c r="D15" s="372">
        <v>1</v>
      </c>
      <c r="E15" s="157">
        <v>43101</v>
      </c>
      <c r="F15" s="157">
        <v>43435</v>
      </c>
      <c r="G15" s="158">
        <v>1</v>
      </c>
      <c r="H15" s="159">
        <f>IF(D15&gt;0,(IF(ISBLANK(A15),"",NETWORKDAYS(E15,F15)*G15)*D15),"")</f>
        <v>240</v>
      </c>
      <c r="I15" s="160">
        <f t="shared" si="0"/>
        <v>1920</v>
      </c>
      <c r="J15" s="172">
        <f>IF(ISBLANK(A15),"",VLOOKUP(A15,gsrates!$A$3:$AK$38,VLOOKUP($B$5,gsrates!$A$41:$C$58,2,FALSE),FALSE))</f>
        <v>23005</v>
      </c>
      <c r="K15" s="79">
        <f t="shared" si="1"/>
        <v>44169600</v>
      </c>
      <c r="L15" s="203">
        <f>IF(ISBLANK(A15),"",VLOOKUP(A15,gsrates!$A$3:$AK$38,VLOOKUP($B$5,gsrates!$A$41:$C$58,3,FALSE),FALSE))</f>
        <v>10135</v>
      </c>
      <c r="M15" s="203">
        <f t="shared" si="2"/>
        <v>19459200</v>
      </c>
      <c r="N15" s="79">
        <f t="shared" si="3"/>
        <v>24710400</v>
      </c>
      <c r="O15" s="173">
        <v>23005</v>
      </c>
      <c r="P15" s="203">
        <f t="shared" si="4"/>
        <v>44169600</v>
      </c>
      <c r="Q15" s="79">
        <f t="shared" si="5"/>
        <v>24710400</v>
      </c>
      <c r="R15" s="151">
        <f t="shared" si="6"/>
        <v>0.55944359921756137</v>
      </c>
      <c r="S15" s="162">
        <f t="shared" si="7"/>
        <v>0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/>
      <c r="H16" s="159" t="str">
        <f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2"/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>IF(D17&gt;0,(IF(ISBLANK(A17),"",NETWORKDAYS(E17,F17)*G17)*D17),"")</f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/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ref="H18:H30" si="10">IF(D18&gt;0,(IF(ISBLANK(A18),"",NETWORKDAYS(E18,F18)*G18)*D18),"")</f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/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480</v>
      </c>
      <c r="I32" s="9">
        <f>SUM(I14:I31)</f>
        <v>3840</v>
      </c>
      <c r="J32" s="31"/>
      <c r="K32" s="36">
        <f>SUM(K14:K31)</f>
        <v>85929600</v>
      </c>
      <c r="L32" s="205"/>
      <c r="M32" s="205">
        <f>SUM(M14:M31)</f>
        <v>36289920</v>
      </c>
      <c r="N32" s="36">
        <f>SUM(N14:N31)</f>
        <v>49639680</v>
      </c>
      <c r="O32" s="33"/>
      <c r="P32" s="205">
        <f>SUM(P14:P31)</f>
        <v>85929600</v>
      </c>
      <c r="Q32" s="36">
        <f>SUM(Q14:Q31)</f>
        <v>49639680</v>
      </c>
      <c r="R32" s="15">
        <f>IF(H32=0,"",Q32/P32)</f>
        <v>0.57767847167914199</v>
      </c>
      <c r="S32" s="8">
        <f>IF(H32=0,"",1-P32/K32)</f>
        <v>0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36</v>
      </c>
      <c r="I45" s="448">
        <f>IF(ISBLANK($B$6),0,H45*$B$9)</f>
        <v>288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10741200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4536240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6204960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10741200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6204960</v>
      </c>
      <c r="R45" s="15">
        <f>IF(H45=0,"",Q45/P45)</f>
        <v>0.57767847167914199</v>
      </c>
      <c r="S45" s="8">
        <f>IF(H45=0,"",1-P45/K45)</f>
        <v>0</v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516</v>
      </c>
      <c r="I48" s="448">
        <f>IF(ISBLANK($B$6),0,H48*$B$9)</f>
        <v>4128</v>
      </c>
      <c r="J48" s="33"/>
      <c r="K48" s="17">
        <f>K32+K43+K45+K46+K47</f>
        <v>96670800</v>
      </c>
      <c r="L48" s="205"/>
      <c r="M48" s="17">
        <f>M32+M43+M45+M46+M47</f>
        <v>40826160</v>
      </c>
      <c r="N48" s="17">
        <f>N32+N43+N45+N47+N58+N46</f>
        <v>55844640</v>
      </c>
      <c r="P48" s="17">
        <f>P32+P43+P45+P46+P47</f>
        <v>96670800</v>
      </c>
      <c r="Q48" s="17">
        <f>Q32+Q43+Q45+Q47+Q58+Q46</f>
        <v>55844640</v>
      </c>
      <c r="R48" s="15">
        <f>IF(ISBLANK(A48),"",IF(P48&gt;0,Q48/P48,0))</f>
        <v>0.57767847167914199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516</v>
      </c>
      <c r="I59" s="9">
        <f>I48+I56</f>
        <v>4128</v>
      </c>
      <c r="J59" s="31"/>
      <c r="K59" s="36">
        <f>K48</f>
        <v>96670800</v>
      </c>
      <c r="L59" s="205"/>
      <c r="M59" s="205">
        <f>M48+M58</f>
        <v>40826160</v>
      </c>
      <c r="N59" s="36">
        <f>N48</f>
        <v>55844640</v>
      </c>
      <c r="O59" s="33"/>
      <c r="P59" s="205">
        <f>P48+P58</f>
        <v>96670800</v>
      </c>
      <c r="Q59" s="36">
        <f>Q48</f>
        <v>55844640</v>
      </c>
      <c r="R59" s="15">
        <f>IF(ISBLANK(A59),"",IF(P59&gt;0,Q59/P59,0))</f>
        <v>0.57767847167914199</v>
      </c>
      <c r="S59" s="8">
        <f>IF(ISBLANK(A59),"",IF(K59&gt;0,1-P59/K59,1))</f>
        <v>0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96670800</v>
      </c>
      <c r="Q61" s="43">
        <f>P61-M59</f>
        <v>55844640</v>
      </c>
      <c r="R61" s="44">
        <f>IF(ISBLANK(A61),"",IF(P61&gt;0,Q61/P61,0))</f>
        <v>0.57767847167914199</v>
      </c>
      <c r="S61" s="45">
        <f>IF(ISBLANK(A61),"",IF(K59&gt;0,1-P61/K59,1))</f>
        <v>0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490.2</v>
      </c>
      <c r="I63" s="9">
        <f>I59*(1-$G$8)</f>
        <v>3921.6</v>
      </c>
      <c r="J63" s="31"/>
      <c r="K63" s="36">
        <f>K59*(1-$G$8)</f>
        <v>91837260</v>
      </c>
      <c r="L63" s="205"/>
      <c r="M63" s="205">
        <f>M59*(1-$G$8)</f>
        <v>38784852</v>
      </c>
      <c r="N63" s="36">
        <f>N59*(1-$G$8)</f>
        <v>53052408</v>
      </c>
      <c r="O63" s="49"/>
      <c r="P63" s="205">
        <f>P59*(1-$G$8)</f>
        <v>91837260</v>
      </c>
      <c r="Q63" s="36">
        <f>Q59*(1-$G$8)</f>
        <v>53052408</v>
      </c>
      <c r="R63" s="15">
        <f>IF(ISBLANK(A63),"",IF(P63&gt;0,Q63/P63,0))</f>
        <v>0.57767847167914199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619.19999999999993</v>
      </c>
      <c r="I64" s="9">
        <f>I59*(1+$G$9)</f>
        <v>4953.5999999999995</v>
      </c>
      <c r="J64" s="31"/>
      <c r="K64" s="36">
        <f>K59*(1+$G$9)</f>
        <v>116004960</v>
      </c>
      <c r="L64" s="205"/>
      <c r="M64" s="205">
        <f>M59*(1+$G$9)</f>
        <v>48991392</v>
      </c>
      <c r="N64" s="36">
        <f>N59*(1+$G$9)</f>
        <v>67013568</v>
      </c>
      <c r="O64" s="49"/>
      <c r="P64" s="205">
        <f>P59*(1+$G$9)</f>
        <v>116004960</v>
      </c>
      <c r="Q64" s="36">
        <f>Q59*(1+$G$9)</f>
        <v>67013568</v>
      </c>
      <c r="R64" s="15">
        <f>IF(ISBLANK(A64),"",IF(P64&gt;0,Q64/P64,0))</f>
        <v>0.57767847167914199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257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258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259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51 G14:G31" xr:uid="{00000000-0002-0000-0500-000000000000}">
      <formula1>0</formula1>
      <formula2>1</formula2>
    </dataValidation>
    <dataValidation type="list" allowBlank="1" showInputMessage="1" showErrorMessage="1" sqref="C14:C31" xr:uid="{00000000-0002-0000-0500-000001000000}">
      <formula1>"APAC, EU, NA, SELECT ONE, ERROR"</formula1>
    </dataValidation>
    <dataValidation type="list" allowBlank="1" showInputMessage="1" showErrorMessage="1" sqref="B8" xr:uid="{00000000-0002-0000-0500-000002000000}">
      <formula1>"Quote, Estimate, Select One"</formula1>
    </dataValidation>
    <dataValidation type="list" allowBlank="1" showInputMessage="1" showErrorMessage="1" sqref="B4" xr:uid="{00000000-0002-0000-0500-000003000000}">
      <formula1>"T&amp;M, Fixed Price, SELECT ONE"</formula1>
    </dataValidation>
    <dataValidation type="list" showInputMessage="1" showErrorMessage="1" sqref="B10" xr:uid="{00000000-0002-0000-0500-000004000000}">
      <formula1>"SELECT ONE, APAC, EU, NA"</formula1>
    </dataValidation>
    <dataValidation type="date" operator="greaterThanOrEqual" allowBlank="1" showInputMessage="1" showErrorMessage="1" sqref="E51:E52 E53:F55 E37:F42 E36 E14:E31" xr:uid="{00000000-0002-0000-0500-000005000000}">
      <formula1>38353</formula1>
    </dataValidation>
    <dataValidation type="whole" showInputMessage="1" showErrorMessage="1" sqref="B9:D9" xr:uid="{00000000-0002-0000-0500-000006000000}">
      <formula1>8</formula1>
      <formula2>9</formula2>
    </dataValidation>
    <dataValidation type="decimal" allowBlank="1" showInputMessage="1" showErrorMessage="1" sqref="G36:G42" xr:uid="{00000000-0002-0000-0500-000007000000}">
      <formula1>0</formula1>
      <formula2>5</formula2>
    </dataValidation>
    <dataValidation type="date" operator="greaterThan" allowBlank="1" showInputMessage="1" showErrorMessage="1" sqref="F51:F52 F36 F14:F31" xr:uid="{00000000-0002-0000-0500-000008000000}">
      <formula1>38353</formula1>
    </dataValidation>
    <dataValidation type="list" showInputMessage="1" showErrorMessage="1" sqref="C4:D4" xr:uid="{00000000-0002-0000-0500-000009000000}">
      <formula1>"T&amp;M, Fixed Price, SELECT ONE"</formula1>
    </dataValidation>
    <dataValidation type="list" showInputMessage="1" showErrorMessage="1" sqref="C8:D8" xr:uid="{00000000-0002-0000-0500-00000A000000}">
      <formula1>"Quote, Estimate, SELECT ONE"</formula1>
    </dataValidation>
    <dataValidation type="whole" allowBlank="1" showInputMessage="1" showErrorMessage="1" sqref="D14:D31" xr:uid="{00000000-0002-0000-0500-00000B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C000000}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B80" sqref="B80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CLOUD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T&amp;M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JAPAN</v>
      </c>
      <c r="C5" s="98"/>
      <c r="G5" s="124" t="str">
        <f>IF(AND(O75&gt;0,O77=0),"Enter Total Price in N43"," ")</f>
        <v xml:space="preserve"> 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JPY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25000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11841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-JAPAN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23005</v>
      </c>
      <c r="J15" s="79">
        <f t="shared" si="2"/>
        <v>0</v>
      </c>
      <c r="K15" s="203">
        <f>IF(ISBLANK(A15),"",VLOOKUP(A15,gsrates!$A$3:$AK$38,VLOOKUP($B$5,gsrates!$A$41:$C$58,3,FALSE),FALSE))</f>
        <v>10135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-JAPAN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23005</v>
      </c>
      <c r="J16" s="79">
        <f t="shared" si="2"/>
        <v>0</v>
      </c>
      <c r="K16" s="203">
        <f>IF(ISBLANK(A16),"",VLOOKUP(A16,gsrates!$A$3:$AK$38,VLOOKUP($B$5,gsrates!$A$41:$C$58,3,FALSE),FALSE))</f>
        <v>10135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-JAPAN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23005</v>
      </c>
      <c r="J17" s="79">
        <f t="shared" si="2"/>
        <v>0</v>
      </c>
      <c r="K17" s="203">
        <f>IF(ISBLANK(A17),"",VLOOKUP(A17,gsrates!$A$3:$AK$38,VLOOKUP($B$5,gsrates!$A$41:$C$58,3,FALSE),FALSE))</f>
        <v>10135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-JAPAN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21750</v>
      </c>
      <c r="J18" s="79">
        <f t="shared" si="2"/>
        <v>0</v>
      </c>
      <c r="K18" s="203">
        <f>IF(ISBLANK(A18),"",VLOOKUP(A18,gsrates!$A$3:$AK$38,VLOOKUP($B$5,gsrates!$A$41:$C$58,3,FALSE),FALSE))</f>
        <v>8766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-JAPAN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21750</v>
      </c>
      <c r="J19" s="79">
        <f t="shared" si="2"/>
        <v>0</v>
      </c>
      <c r="K19" s="203">
        <f>IF(ISBLANK(A19),"",VLOOKUP(A19,gsrates!$A$3:$AK$38,VLOOKUP($B$5,gsrates!$A$41:$C$58,3,FALSE),FALSE))</f>
        <v>8766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-JAPAN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18820</v>
      </c>
      <c r="J20" s="79">
        <f t="shared" si="2"/>
        <v>0</v>
      </c>
      <c r="K20" s="203">
        <f>IF(ISBLANK(A20),"",VLOOKUP(A20,gsrates!$A$3:$AK$38,VLOOKUP($B$5,gsrates!$A$41:$C$58,3,FALSE),FALSE))</f>
        <v>8735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-JAPAN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18820</v>
      </c>
      <c r="J21" s="79">
        <f t="shared" si="2"/>
        <v>0</v>
      </c>
      <c r="K21" s="203">
        <f>IF(ISBLANK(A21),"",VLOOKUP(A21,gsrates!$A$3:$AK$38,VLOOKUP($B$5,gsrates!$A$41:$C$58,3,FALSE),FALSE))</f>
        <v>7766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-JAPAN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16000</v>
      </c>
      <c r="J22" s="79">
        <f t="shared" si="2"/>
        <v>0</v>
      </c>
      <c r="K22" s="203">
        <f>IF(ISBLANK(A22),"",VLOOKUP(A22,gsrates!$A$3:$AK$38,VLOOKUP($B$5,gsrates!$A$41:$C$58,3,FALSE),FALSE))</f>
        <v>5000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-JAPAN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14000</v>
      </c>
      <c r="J23" s="79">
        <f t="shared" si="2"/>
        <v>0</v>
      </c>
      <c r="K23" s="203">
        <f>IF(ISBLANK(A23),"",VLOOKUP(A23,gsrates!$A$3:$AK$38,VLOOKUP($B$5,gsrates!$A$41:$C$58,3,FALSE),FALSE))</f>
        <v>3000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23005</v>
      </c>
      <c r="J24" s="79">
        <f t="shared" si="2"/>
        <v>0</v>
      </c>
      <c r="K24" s="203">
        <f>IF(ISBLANK(A24),"",VLOOKUP(A24,gsrates!$A$3:$AK$38,VLOOKUP($B$5,gsrates!$A$41:$C$58,3,FALSE),FALSE))</f>
        <v>10135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-JAPAN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21750</v>
      </c>
      <c r="J25" s="79">
        <f t="shared" si="2"/>
        <v>0</v>
      </c>
      <c r="K25" s="203">
        <f>IF(ISBLANK(A25),"",VLOOKUP(A25,gsrates!$A$3:$AK$38,VLOOKUP($B$5,gsrates!$A$41:$C$58,3,FALSE),FALSE))</f>
        <v>8532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-JAPAN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18820</v>
      </c>
      <c r="J26" s="79">
        <f t="shared" si="2"/>
        <v>0</v>
      </c>
      <c r="K26" s="203">
        <f>IF(ISBLANK(A26),"",VLOOKUP(A26,gsrates!$A$3:$AK$38,VLOOKUP($B$5,gsrates!$A$41:$C$58,3,FALSE),FALSE))</f>
        <v>5847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-JAPAN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16000</v>
      </c>
      <c r="J27" s="79">
        <f t="shared" si="2"/>
        <v>0</v>
      </c>
      <c r="K27" s="203">
        <f>IF(ISBLANK(A27),"",VLOOKUP(A27,gsrates!$A$3:$AK$38,VLOOKUP($B$5,gsrates!$A$41:$C$58,3,FALSE),FALSE))</f>
        <v>5000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-JAPAN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21750</v>
      </c>
      <c r="J28" s="79">
        <f t="shared" si="2"/>
        <v>0</v>
      </c>
      <c r="K28" s="203">
        <f>IF(ISBLANK(A28),"",VLOOKUP(A28,gsrates!$A$3:$AK$38,VLOOKUP($B$5,gsrates!$A$41:$C$58,3,FALSE),FALSE))</f>
        <v>8532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23005</v>
      </c>
      <c r="J29" s="79">
        <f t="shared" si="2"/>
        <v>0</v>
      </c>
      <c r="K29" s="203">
        <f>IF(ISBLANK(A29),"",VLOOKUP(A29,gsrates!$A$3:$AK$38,VLOOKUP($B$5,gsrates!$A$41:$C$58,3,FALSE),FALSE))</f>
        <v>10135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23005</v>
      </c>
      <c r="J30" s="79">
        <f t="shared" si="2"/>
        <v>0</v>
      </c>
      <c r="K30" s="203">
        <f>IF(ISBLANK(A30),"",VLOOKUP(A30,gsrates!$A$3:$AK$38,VLOOKUP($B$5,gsrates!$A$41:$C$58,3,FALSE),FALSE))</f>
        <v>8000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-JAPAN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23005</v>
      </c>
      <c r="J31" s="79">
        <f t="shared" si="2"/>
        <v>0</v>
      </c>
      <c r="K31" s="203">
        <f>IF(ISBLANK(A31),"",VLOOKUP(A31,gsrates!$A$3:$AK$38,VLOOKUP($B$5,gsrates!$A$41:$C$58,3,FALSE),FALSE))</f>
        <v>8000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23005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8000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23005</v>
      </c>
      <c r="J33" s="79">
        <f t="shared" si="12"/>
        <v>0</v>
      </c>
      <c r="K33" s="203">
        <f>IF(ISBLANK(A33),"",VLOOKUP(A33,gsrates!$A$3:$AK$38,VLOOKUP($B$5,gsrates!$A$41:$C$58,3,FALSE),FALSE))</f>
        <v>8000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23005</v>
      </c>
      <c r="J34" s="79">
        <f t="shared" si="12"/>
        <v>0</v>
      </c>
      <c r="K34" s="203">
        <f>IF(ISBLANK(A34),"",VLOOKUP(A34,gsrates!$A$3:$AK$38,VLOOKUP($B$5,gsrates!$A$41:$C$58,3,FALSE),FALSE))</f>
        <v>8000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21750</v>
      </c>
      <c r="J35" s="79">
        <f t="shared" si="12"/>
        <v>0</v>
      </c>
      <c r="K35" s="203">
        <f>IF(ISBLANK(A35),"",VLOOKUP(A35,gsrates!$A$3:$AK$38,VLOOKUP($B$5,gsrates!$A$41:$C$58,3,FALSE),FALSE))</f>
        <v>4471.84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18820</v>
      </c>
      <c r="J36" s="79">
        <f t="shared" si="12"/>
        <v>0</v>
      </c>
      <c r="K36" s="203">
        <f>IF(ISBLANK(A36),"",VLOOKUP(A36,gsrates!$A$3:$AK$38,VLOOKUP($B$5,gsrates!$A$41:$C$58,3,FALSE),FALSE))</f>
        <v>4001.1200000000003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16000</v>
      </c>
      <c r="J37" s="79">
        <f t="shared" si="12"/>
        <v>0</v>
      </c>
      <c r="K37" s="203">
        <f>IF(ISBLANK(A37),"",VLOOKUP(A37,gsrates!$A$3:$AK$38,VLOOKUP($B$5,gsrates!$A$41:$C$58,3,FALSE),FALSE))</f>
        <v>2706.6400000000003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14100</v>
      </c>
      <c r="J38" s="79">
        <f t="shared" si="12"/>
        <v>0</v>
      </c>
      <c r="K38" s="203">
        <f>IF(ISBLANK(A38),"",VLOOKUP(A38,gsrates!$A$3:$AK$38,VLOOKUP($B$5,gsrates!$A$41:$C$58,3,FALSE),FALSE))</f>
        <v>4471.84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9500</v>
      </c>
      <c r="J39" s="79">
        <f t="shared" si="12"/>
        <v>0</v>
      </c>
      <c r="K39" s="203">
        <f>IF(ISBLANK(A39),"",VLOOKUP(A39,gsrates!$A$3:$AK$38,VLOOKUP($B$5,gsrates!$A$41:$C$58,3,FALSE),FALSE))</f>
        <v>4001.1200000000003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7100</v>
      </c>
      <c r="J40" s="79">
        <f t="shared" si="12"/>
        <v>0</v>
      </c>
      <c r="K40" s="203">
        <f>IF(ISBLANK(A40),"",VLOOKUP(A40,gsrates!$A$3:$AK$38,VLOOKUP($B$5,gsrates!$A$41:$C$58,3,FALSE),FALSE))</f>
        <v>2706.6400000000003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10600</v>
      </c>
      <c r="J41" s="79">
        <f t="shared" si="12"/>
        <v>0</v>
      </c>
      <c r="K41" s="203">
        <f>IF(ISBLANK(A41),"",VLOOKUP(A41,gsrates!$A$3:$AK$38,VLOOKUP($B$5,gsrates!$A$41:$C$58,3,FALSE),FALSE))</f>
        <v>6354.72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6500</v>
      </c>
      <c r="J42" s="79">
        <f t="shared" si="12"/>
        <v>0</v>
      </c>
      <c r="K42" s="203">
        <f>IF(ISBLANK(A42),"",VLOOKUP(A42,gsrates!$A$3:$AK$38,VLOOKUP($B$5,gsrates!$A$41:$C$58,3,FALSE),FALSE))</f>
        <v>2000.5600000000002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8900</v>
      </c>
      <c r="J43" s="79">
        <f t="shared" si="12"/>
        <v>0</v>
      </c>
      <c r="K43" s="203">
        <f>IF(ISBLANK(A43),"",VLOOKUP(A43,gsrates!$A$3:$AK$38,VLOOKUP($B$5,gsrates!$A$41:$C$58,3,FALSE),FALSE))</f>
        <v>4354.16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6500</v>
      </c>
      <c r="J44" s="79">
        <f t="shared" si="12"/>
        <v>0</v>
      </c>
      <c r="K44" s="203">
        <f>IF(ISBLANK(A44),"",VLOOKUP(A44,gsrates!$A$3:$AK$38,VLOOKUP($B$5,gsrates!$A$41:$C$58,3,FALSE),FALSE))</f>
        <v>2222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4700</v>
      </c>
      <c r="J45" s="79">
        <f t="shared" si="12"/>
        <v>0</v>
      </c>
      <c r="K45" s="203">
        <f>IF(ISBLANK(A45),"",VLOOKUP(A45,gsrates!$A$3:$AK$38,VLOOKUP($B$5,gsrates!$A$41:$C$58,3,FALSE),FALSE))</f>
        <v>1637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4100</v>
      </c>
      <c r="J46" s="79">
        <f>IF(ISBLANK(A46),"",H46*I46)</f>
        <v>0</v>
      </c>
      <c r="K46" s="203">
        <f>IF(ISBLANK(A46),"",VLOOKUP(A46,gsrates!$A$3:$AK$38,VLOOKUP($B$5,gsrates!$A$41:$C$58,3,FALSE),FALSE))</f>
        <v>1059.1200000000001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8900</v>
      </c>
      <c r="J47" s="81">
        <f>IF(ISBLANK(A47),"",H47*I47)</f>
        <v>0</v>
      </c>
      <c r="K47" s="204">
        <f>IF(ISBLANK(A47),"",VLOOKUP(A47,gsrates!$A$3:$AK$38,VLOOKUP($B$5,gsrates!$A$41:$C$58,3,FALSE),FALSE))</f>
        <v>4354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-JAPAN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>
        <f>IF($B$4="Fixed Price",L74,0)</f>
        <v>0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>
        <f>O64+O74</f>
        <v>0</v>
      </c>
      <c r="P75" s="36">
        <f>P64</f>
        <v>0</v>
      </c>
      <c r="Q75" s="15">
        <f>IF(ISBLANK(A75),"",IF(O75&gt;0,P75/O75,0))</f>
        <v>0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>
        <f>O75</f>
        <v>0</v>
      </c>
      <c r="P77" s="43" t="e">
        <f>O77-L75</f>
        <v>#REF!</v>
      </c>
      <c r="Q77" s="44">
        <f>IF(ISBLANK(A77),"",IF(O77&gt;0,P77/O77,0))</f>
        <v>0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>
        <f>O75*(1-$F$8)</f>
        <v>0</v>
      </c>
      <c r="P79" s="36">
        <f>P75*(1-$F$8)</f>
        <v>0</v>
      </c>
      <c r="Q79" s="15">
        <f>IF(ISBLANK(A79),"",IF(O79&gt;0,P79/O79,0))</f>
        <v>0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>
        <f>O75*(1+$F$9)</f>
        <v>0</v>
      </c>
      <c r="P80" s="36">
        <f>P75*(1+$F$9)</f>
        <v>0</v>
      </c>
      <c r="Q80" s="15">
        <f>IF(ISBLANK(A80),"",IF(O80&gt;0,P80/O80,0))</f>
        <v>0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 xr:uid="{00000000-0002-0000-0600-000000000000}">
      <formula1>0</formula1>
      <formula2>9</formula2>
    </dataValidation>
    <dataValidation type="list" allowBlank="1" showInputMessage="1" showErrorMessage="1" sqref="C14:C47" xr:uid="{00000000-0002-0000-0600-000001000000}">
      <formula1>"APAC, EU, NA, SELECT ONE, ERROR"</formula1>
    </dataValidation>
    <dataValidation type="list" allowBlank="1" showInputMessage="1" showErrorMessage="1" sqref="B8" xr:uid="{00000000-0002-0000-0600-000002000000}">
      <formula1>"Quote, Estimate, Select One"</formula1>
    </dataValidation>
    <dataValidation type="list" allowBlank="1" showInputMessage="1" showErrorMessage="1" sqref="B4" xr:uid="{00000000-0002-0000-0600-000003000000}">
      <formula1>"T&amp;M, Fixed Price, SELECT ONE"</formula1>
    </dataValidation>
    <dataValidation type="list" showInputMessage="1" showErrorMessage="1" sqref="B10" xr:uid="{00000000-0002-0000-0600-000004000000}">
      <formula1>"SELECT ONE, APAC, EU, NA"</formula1>
    </dataValidation>
    <dataValidation type="date" operator="greaterThanOrEqual" allowBlank="1" showInputMessage="1" showErrorMessage="1" sqref="D67:D68 D69:E71 D53:E58 D52 D14:D47" xr:uid="{00000000-0002-0000-0600-000005000000}">
      <formula1>38353</formula1>
    </dataValidation>
    <dataValidation type="whole" showInputMessage="1" showErrorMessage="1" sqref="B9:C9" xr:uid="{00000000-0002-0000-0600-000006000000}">
      <formula1>8</formula1>
      <formula2>9</formula2>
    </dataValidation>
    <dataValidation type="decimal" allowBlank="1" showInputMessage="1" showErrorMessage="1" sqref="F52:F58" xr:uid="{00000000-0002-0000-0600-000007000000}">
      <formula1>0</formula1>
      <formula2>5</formula2>
    </dataValidation>
    <dataValidation type="date" operator="greaterThan" allowBlank="1" showInputMessage="1" showErrorMessage="1" sqref="E67:E68 E52 E14:E47" xr:uid="{00000000-0002-0000-0600-000008000000}">
      <formula1>38353</formula1>
    </dataValidation>
    <dataValidation type="list" showInputMessage="1" showErrorMessage="1" sqref="C4" xr:uid="{00000000-0002-0000-0600-000009000000}">
      <formula1>"T&amp;M, Fixed Price, SELECT ONE"</formula1>
    </dataValidation>
    <dataValidation type="list" showInputMessage="1" showErrorMessage="1" sqref="C8" xr:uid="{00000000-0002-0000-0600-00000A000000}">
      <formula1>"Quote, Estimate, SELECT ONE"</formula1>
    </dataValidation>
    <dataValidation type="decimal" allowBlank="1" showInputMessage="1" showErrorMessage="1" sqref="F67" xr:uid="{00000000-0002-0000-0600-00000B000000}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C000000}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N135"/>
  <sheetViews>
    <sheetView workbookViewId="0">
      <pane xSplit="1" ySplit="2" topLeftCell="B52" activePane="bottomRight" state="frozen"/>
      <selection pane="topRight" activeCell="B1" sqref="B1"/>
      <selection pane="bottomLeft" activeCell="A3" sqref="A3"/>
      <selection pane="bottomRight" activeCell="K101" sqref="K101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247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ColWidth="9.33203125"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CLOUD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JAPAN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43219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157">
        <v>43314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Quote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JPY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209</v>
      </c>
      <c r="B15" s="156"/>
      <c r="C15" s="86"/>
      <c r="D15" s="372">
        <v>2</v>
      </c>
      <c r="E15" s="157">
        <v>43219</v>
      </c>
      <c r="F15" s="157">
        <v>43313</v>
      </c>
      <c r="G15" s="158">
        <v>1</v>
      </c>
      <c r="H15" s="159">
        <f t="shared" ref="H15:H31" si="0">IF(ISBLANK(A15),"",NETWORKDAYS(E15,F15)*G15)</f>
        <v>68</v>
      </c>
      <c r="I15" s="160">
        <f t="shared" ref="I15:I31" si="1">IF(ISBLANK(A15),"",H15*$B$10)</f>
        <v>544</v>
      </c>
      <c r="J15" s="172">
        <f>IF(ISBLANK(A15),"",VLOOKUP(A15,gsrates!$A$3:$AK$38,VLOOKUP($B$6,gsrates!$A$41:$C$58,2,FALSE),FALSE))</f>
        <v>25000</v>
      </c>
      <c r="K15" s="79">
        <f t="shared" ref="K15:K31" si="2">IF(ISBLANK(A15),"",I15*J15)</f>
        <v>13600000</v>
      </c>
      <c r="L15" s="203">
        <f>IF(ISBLANK(A15),"",VLOOKUP(A15,gsrates!$A$3:$AK$38,VLOOKUP($B$6,gsrates!$A$41:$C$58,3,FALSE),FALSE))</f>
        <v>11841</v>
      </c>
      <c r="M15" s="203">
        <f t="shared" ref="M15:M31" si="3">IF(ISBLANK(A15),"",L15*H15*8)</f>
        <v>6441504</v>
      </c>
      <c r="N15" s="79">
        <f t="shared" ref="N15:N31" si="4">IF(ISBLANK(A15),"",K15-M15)</f>
        <v>7158496</v>
      </c>
      <c r="O15" s="173">
        <v>300</v>
      </c>
      <c r="P15" s="203">
        <f t="shared" ref="P15:P31" si="5">IF(ISBLANK(A15),"",H15*O15*$B$10)</f>
        <v>163200</v>
      </c>
      <c r="Q15" s="79">
        <f t="shared" ref="Q15:Q31" si="6">IF(ISBLANK(A15),"",P15-M15)</f>
        <v>-6278304</v>
      </c>
      <c r="R15" s="151">
        <f t="shared" ref="R15:R31" si="7">IF(ISBLANK(A15),"",Q15/P15)</f>
        <v>-38.47</v>
      </c>
      <c r="S15" s="162">
        <f t="shared" ref="S15:S31" si="8">IF(ISBLANK(A15),"",1-P15/K15)</f>
        <v>0.98799999999999999</v>
      </c>
      <c r="T15" s="41"/>
      <c r="U15" s="41" t="str">
        <f t="shared" ref="U15:U31" si="9">IF(ISBLANK(A15),"",CONCATENATE(C15,"-",$B$6))</f>
        <v>-JAPAN</v>
      </c>
      <c r="Y15" s="41" t="s">
        <v>155</v>
      </c>
    </row>
    <row r="16" spans="1:148" outlineLevel="1" x14ac:dyDescent="0.2">
      <c r="A16" s="156" t="s">
        <v>210</v>
      </c>
      <c r="B16" s="156"/>
      <c r="C16" s="86"/>
      <c r="D16" s="372">
        <v>2</v>
      </c>
      <c r="E16" s="157">
        <v>43219</v>
      </c>
      <c r="F16" s="157">
        <v>43314</v>
      </c>
      <c r="G16" s="158">
        <v>1</v>
      </c>
      <c r="H16" s="159">
        <f t="shared" si="0"/>
        <v>69</v>
      </c>
      <c r="I16" s="160">
        <f t="shared" si="1"/>
        <v>552</v>
      </c>
      <c r="J16" s="172">
        <f>IF(ISBLANK(A16),"",VLOOKUP(A16,gsrates!$A$3:$AK$38,VLOOKUP($B$6,gsrates!$A$41:$C$58,2,FALSE),FALSE))</f>
        <v>23005</v>
      </c>
      <c r="K16" s="79">
        <f t="shared" si="2"/>
        <v>12698760</v>
      </c>
      <c r="L16" s="203">
        <f>IF(ISBLANK(A16),"",VLOOKUP(A16,gsrates!$A$3:$AK$38,VLOOKUP($B$6,gsrates!$A$41:$C$58,3,FALSE),FALSE))</f>
        <v>10135</v>
      </c>
      <c r="M16" s="203">
        <f t="shared" si="3"/>
        <v>5594520</v>
      </c>
      <c r="N16" s="79">
        <f t="shared" si="4"/>
        <v>7104240</v>
      </c>
      <c r="O16" s="173">
        <v>200</v>
      </c>
      <c r="P16" s="203">
        <f t="shared" si="5"/>
        <v>110400</v>
      </c>
      <c r="Q16" s="79">
        <f t="shared" si="6"/>
        <v>-5484120</v>
      </c>
      <c r="R16" s="151">
        <f t="shared" si="7"/>
        <v>-49.674999999999997</v>
      </c>
      <c r="S16" s="162">
        <f t="shared" si="8"/>
        <v>0.99130623777439686</v>
      </c>
      <c r="T16" s="41"/>
      <c r="U16" s="41" t="str">
        <f t="shared" si="9"/>
        <v>-JAPAN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137</v>
      </c>
      <c r="I32" s="9">
        <f>SUM(I15:I31)</f>
        <v>1096</v>
      </c>
      <c r="J32" s="31"/>
      <c r="K32" s="36">
        <f>SUM(K15:K31)</f>
        <v>26298760</v>
      </c>
      <c r="L32" s="205"/>
      <c r="M32" s="205">
        <f>SUM(M15:M31)</f>
        <v>12036024</v>
      </c>
      <c r="N32" s="36">
        <f>SUM(N15:N31)</f>
        <v>14262736</v>
      </c>
      <c r="O32" s="33"/>
      <c r="P32" s="205">
        <f>SUM(P15:P31)</f>
        <v>273600</v>
      </c>
      <c r="Q32" s="36">
        <f>SUM(Q15:Q31)</f>
        <v>-11762424</v>
      </c>
      <c r="R32" s="15">
        <f>IF(H32=0,"",Q32/P32)</f>
        <v>-42.991315789473681</v>
      </c>
      <c r="S32" s="8">
        <f>IF(H32=0,"",1-P32/K32)</f>
        <v>0.98959646766615617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137</v>
      </c>
      <c r="I48" s="17">
        <f>I32+I43+I45+I46+I47</f>
        <v>1096</v>
      </c>
      <c r="J48" s="33"/>
      <c r="K48" s="17">
        <f>K32+K43+K45+K46+K47</f>
        <v>26298760</v>
      </c>
      <c r="L48" s="205"/>
      <c r="M48" s="17">
        <f>M32+M43+M45+M46+M47</f>
        <v>12036024</v>
      </c>
      <c r="N48" s="17">
        <f>N32+N43+N45+N47+N58+N46</f>
        <v>14262736</v>
      </c>
      <c r="P48" s="17">
        <f>P32+P43+P45+P46+P47</f>
        <v>273600</v>
      </c>
      <c r="Q48" s="17">
        <f>Q32+Q43+Q45+Q47+Q58+Q46</f>
        <v>-11762424</v>
      </c>
      <c r="R48" s="15">
        <f>IF(ISBLANK(A48),"",IF(P48&gt;0,Q48/P48,0))</f>
        <v>-42.991315789473681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137</v>
      </c>
      <c r="I59" s="9">
        <f>I48+I56</f>
        <v>1096</v>
      </c>
      <c r="J59" s="31"/>
      <c r="K59" s="36">
        <f>K48</f>
        <v>26298760</v>
      </c>
      <c r="L59" s="205"/>
      <c r="M59" s="205">
        <f>M48+M58</f>
        <v>12036024</v>
      </c>
      <c r="N59" s="36">
        <f>N48</f>
        <v>14262736</v>
      </c>
      <c r="O59" s="33"/>
      <c r="P59" s="205">
        <f>P48+P58</f>
        <v>273600</v>
      </c>
      <c r="Q59" s="36">
        <f>Q48</f>
        <v>-11762424</v>
      </c>
      <c r="R59" s="15">
        <f>IF(ISBLANK(A59),"",IF(P59&gt;0,Q59/P59,0))</f>
        <v>-42.991315789473681</v>
      </c>
      <c r="S59" s="8">
        <f>IF(ISBLANK(A59),"",IF(K59&gt;0,1-P59/K59,1))</f>
        <v>0.98959646766615617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273600</v>
      </c>
      <c r="Q61" s="43">
        <f>P61-M59</f>
        <v>-11762424</v>
      </c>
      <c r="R61" s="44">
        <f>IF(ISBLANK(A61),"",IF(P61&gt;0,Q61/P61,0))</f>
        <v>-42.991315789473681</v>
      </c>
      <c r="S61" s="45">
        <f>IF(ISBLANK(A61),"",IF(K59&gt;0,1-P61/K59,1))</f>
        <v>0.98959646766615617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130.15</v>
      </c>
      <c r="I63" s="9">
        <f>I59*(1-$G$9)</f>
        <v>1041.2</v>
      </c>
      <c r="J63" s="31"/>
      <c r="K63" s="36">
        <f>K59*(1-$G$9)</f>
        <v>24983822</v>
      </c>
      <c r="L63" s="205"/>
      <c r="M63" s="205">
        <f>M59*(1-$G$9)</f>
        <v>11434222.799999999</v>
      </c>
      <c r="N63" s="36">
        <f>N59*(1-$G$9)</f>
        <v>13549599.199999999</v>
      </c>
      <c r="O63" s="49"/>
      <c r="P63" s="205">
        <f>P59*(1-$G$9)</f>
        <v>259920</v>
      </c>
      <c r="Q63" s="36">
        <f>Q59*(1-$G$9)</f>
        <v>-11174302.799999999</v>
      </c>
      <c r="R63" s="15">
        <f>IF(ISBLANK(A63),"",IF(P63&gt;0,Q63/P63,0))</f>
        <v>-42.991315789473681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164.4</v>
      </c>
      <c r="I64" s="9">
        <f>I59*(1+$G$10)</f>
        <v>1315.2</v>
      </c>
      <c r="J64" s="31"/>
      <c r="K64" s="36">
        <f>K59*(1+$G$10)</f>
        <v>31558512</v>
      </c>
      <c r="L64" s="205"/>
      <c r="M64" s="205">
        <f>M59*(1+$G$10)</f>
        <v>14443228.799999999</v>
      </c>
      <c r="N64" s="36">
        <f>N59*(1+$G$10)</f>
        <v>17115283.199999999</v>
      </c>
      <c r="O64" s="49"/>
      <c r="P64" s="205">
        <f>P59*(1+$G$10)</f>
        <v>328320</v>
      </c>
      <c r="Q64" s="36">
        <f>Q59*(1+$G$10)</f>
        <v>-14114908.799999999</v>
      </c>
      <c r="R64" s="15">
        <f>IF(ISBLANK(A64),"",IF(P64&gt;0,Q64/P64,0))</f>
        <v>-42.991315789473681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2">
    <dataValidation type="decimal" allowBlank="1" showInputMessage="1" showErrorMessage="1" sqref="G15:G31 G51" xr:uid="{00000000-0002-0000-0800-000000000000}">
      <formula1>0</formula1>
      <formula2>1</formula2>
    </dataValidation>
    <dataValidation type="list" allowBlank="1" showInputMessage="1" showErrorMessage="1" sqref="C15:C31" xr:uid="{00000000-0002-0000-0800-000001000000}">
      <formula1>"APAC, EU, NA, SELECT ONE, ERROR"</formula1>
    </dataValidation>
    <dataValidation type="list" allowBlank="1" showInputMessage="1" showErrorMessage="1" sqref="B9" xr:uid="{00000000-0002-0000-0800-000002000000}">
      <formula1>"Quote, Estimate, Select One"</formula1>
    </dataValidation>
    <dataValidation type="list" allowBlank="1" showInputMessage="1" showErrorMessage="1" sqref="B5" xr:uid="{00000000-0002-0000-0800-000003000000}">
      <formula1>"NSC, T&amp;M, Fixed Price, SELECT ONE"</formula1>
    </dataValidation>
    <dataValidation type="list" showInputMessage="1" showErrorMessage="1" sqref="B11" xr:uid="{00000000-0002-0000-0800-000004000000}">
      <formula1>"SELECT ONE, APAC, EU, NA"</formula1>
    </dataValidation>
    <dataValidation type="date" operator="greaterThanOrEqual" allowBlank="1" showInputMessage="1" showErrorMessage="1" sqref="E51:E52 E53:F55 E37:F42 E36 E15:E31" xr:uid="{00000000-0002-0000-0800-000005000000}">
      <formula1>38353</formula1>
    </dataValidation>
    <dataValidation type="whole" showInputMessage="1" showErrorMessage="1" sqref="B10:D10" xr:uid="{00000000-0002-0000-0800-000006000000}">
      <formula1>8</formula1>
      <formula2>9</formula2>
    </dataValidation>
    <dataValidation type="decimal" allowBlank="1" showInputMessage="1" showErrorMessage="1" sqref="G36:G42" xr:uid="{00000000-0002-0000-0800-000007000000}">
      <formula1>0</formula1>
      <formula2>5</formula2>
    </dataValidation>
    <dataValidation type="date" operator="greaterThan" allowBlank="1" showInputMessage="1" showErrorMessage="1" sqref="F51:F52 F36 F15:F31" xr:uid="{00000000-0002-0000-0800-000008000000}">
      <formula1>38353</formula1>
    </dataValidation>
    <dataValidation type="list" showInputMessage="1" showErrorMessage="1" sqref="C5:D5" xr:uid="{00000000-0002-0000-0800-000009000000}">
      <formula1>"T&amp;M, Fixed Price, SELECT ONE"</formula1>
    </dataValidation>
    <dataValidation type="list" showInputMessage="1" showErrorMessage="1" sqref="C9:D9" xr:uid="{00000000-0002-0000-0800-00000A000000}">
      <formula1>"Quote, Estimate, SELECT ONE"</formula1>
    </dataValidation>
    <dataValidation type="whole" allowBlank="1" showInputMessage="1" showErrorMessage="1" sqref="D15:D31" xr:uid="{00000000-0002-0000-0800-00000C000000}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D000000}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Q74"/>
  <sheetViews>
    <sheetView topLeftCell="K1" workbookViewId="0">
      <selection activeCell="K76" sqref="K76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 xr:uid="{00000000-0002-0000-0900-000000000000}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2018-08-09T16:07:38Z</dcterms:modified>
</cp:coreProperties>
</file>
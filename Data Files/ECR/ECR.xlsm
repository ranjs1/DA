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3940" windowHeight="91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22" i="38" l="1"/>
  <c r="P30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9" i="38"/>
  <c r="H22" i="38"/>
  <c r="H27" i="38"/>
  <c r="H30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20" i="39"/>
  <c r="H20" i="38" s="1"/>
  <c r="H21" i="39"/>
  <c r="H21" i="38" s="1"/>
  <c r="H22" i="39"/>
  <c r="H23" i="39"/>
  <c r="H23" i="38" s="1"/>
  <c r="H24" i="39"/>
  <c r="H24" i="38" s="1"/>
  <c r="H25" i="39"/>
  <c r="H25" i="38" s="1"/>
  <c r="H26" i="39"/>
  <c r="H26" i="38" s="1"/>
  <c r="H27" i="39"/>
  <c r="H28" i="39"/>
  <c r="H28" i="38" s="1"/>
  <c r="H29" i="39"/>
  <c r="H29" i="38" s="1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0" i="34"/>
  <c r="V19" i="34"/>
  <c r="V18" i="34"/>
  <c r="V17" i="34"/>
  <c r="V15" i="34"/>
  <c r="Q46" i="34" l="1"/>
  <c r="P46" i="34"/>
  <c r="N46" i="34"/>
  <c r="M46" i="34"/>
  <c r="K46" i="34"/>
  <c r="H46" i="34"/>
  <c r="I46" i="34" s="1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T25" i="40" s="1"/>
  <c r="V25" i="40" s="1"/>
  <c r="A26" i="40"/>
  <c r="A27" i="40"/>
  <c r="T27" i="40" s="1"/>
  <c r="V27" i="40" s="1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8" i="40"/>
  <c r="V28" i="40" s="1"/>
  <c r="T26" i="40"/>
  <c r="V26" i="40" s="1"/>
  <c r="D16" i="14"/>
  <c r="H46" i="40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I21" i="40" l="1"/>
  <c r="V21" i="40" s="1"/>
  <c r="V21" i="34"/>
  <c r="K21" i="34"/>
  <c r="K21" i="40" s="1"/>
  <c r="M21" i="34"/>
  <c r="M21" i="40" s="1"/>
  <c r="Q20" i="34"/>
  <c r="K20" i="34"/>
  <c r="S20" i="34"/>
  <c r="S20" i="40" s="1"/>
  <c r="I17" i="40"/>
  <c r="P17" i="40"/>
  <c r="I16" i="40"/>
  <c r="V16" i="40" s="1"/>
  <c r="I15" i="40"/>
  <c r="I18" i="40"/>
  <c r="P15" i="34"/>
  <c r="P15" i="40" s="1"/>
  <c r="G23" i="33"/>
  <c r="H23" i="33" s="1"/>
  <c r="S21" i="34" l="1"/>
  <c r="S21" i="40" s="1"/>
  <c r="N21" i="34"/>
  <c r="N21" i="40" s="1"/>
  <c r="Q21" i="34"/>
  <c r="K20" i="40"/>
  <c r="N20" i="34"/>
  <c r="N20" i="40" s="1"/>
  <c r="Q20" i="40"/>
  <c r="R20" i="34"/>
  <c r="R20" i="40" s="1"/>
  <c r="O23" i="33"/>
  <c r="Q21" i="40" l="1"/>
  <c r="R21" i="34"/>
  <c r="R21" i="40" s="1"/>
  <c r="V31" i="34"/>
  <c r="V24" i="34"/>
  <c r="V25" i="34"/>
  <c r="V26" i="34"/>
  <c r="V27" i="34"/>
  <c r="V28" i="34"/>
  <c r="V29" i="34"/>
  <c r="V30" i="34"/>
  <c r="T14" i="34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E8" i="39"/>
  <c r="E7" i="39"/>
  <c r="B6" i="39"/>
  <c r="M47" i="39"/>
  <c r="B3" i="39"/>
  <c r="B3" i="38" s="1"/>
  <c r="B1" i="39"/>
  <c r="B1" i="38" s="1"/>
  <c r="H56" i="39" l="1"/>
  <c r="L16" i="39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M16" i="38" l="1"/>
  <c r="Q16" i="39"/>
  <c r="Q32" i="39" s="1"/>
  <c r="S16" i="39"/>
  <c r="S16" i="38" s="1"/>
  <c r="N16" i="39"/>
  <c r="N16" i="38" s="1"/>
  <c r="K16" i="38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7" i="34"/>
  <c r="E6" i="34"/>
  <c r="B5" i="34"/>
  <c r="B2" i="34"/>
  <c r="B2" i="40" s="1"/>
  <c r="B1" i="34"/>
  <c r="B1" i="40" s="1"/>
  <c r="B10" i="34"/>
  <c r="J19" i="34" l="1"/>
  <c r="L19" i="34"/>
  <c r="U36" i="34"/>
  <c r="P36" i="34"/>
  <c r="P43" i="34" s="1"/>
  <c r="M36" i="34"/>
  <c r="M36" i="40" s="1"/>
  <c r="I36" i="34"/>
  <c r="J18" i="34"/>
  <c r="L18" i="34"/>
  <c r="J17" i="34"/>
  <c r="L17" i="34"/>
  <c r="L16" i="34"/>
  <c r="J15" i="34"/>
  <c r="J16" i="34"/>
  <c r="L15" i="34"/>
  <c r="H56" i="34"/>
  <c r="M38" i="40"/>
  <c r="I39" i="40"/>
  <c r="L14" i="34"/>
  <c r="L14" i="40" s="1"/>
  <c r="B5" i="40"/>
  <c r="P37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A64" i="34"/>
  <c r="H32" i="34"/>
  <c r="U14" i="34"/>
  <c r="P58" i="34"/>
  <c r="P58" i="40" s="1"/>
  <c r="I14" i="34"/>
  <c r="P14" i="34"/>
  <c r="P14" i="40" s="1"/>
  <c r="P32" i="40" s="1"/>
  <c r="J14" i="34"/>
  <c r="J14" i="40" s="1"/>
  <c r="I14" i="40" l="1"/>
  <c r="V14" i="34"/>
  <c r="V32" i="34" s="1"/>
  <c r="A21" i="14" s="1"/>
  <c r="B21" i="14" s="1"/>
  <c r="M19" i="34"/>
  <c r="L19" i="40"/>
  <c r="M43" i="40"/>
  <c r="K19" i="34"/>
  <c r="J19" i="40"/>
  <c r="M43" i="34"/>
  <c r="I36" i="40"/>
  <c r="I43" i="40" s="1"/>
  <c r="K36" i="34"/>
  <c r="S36" i="34" s="1"/>
  <c r="S36" i="40" s="1"/>
  <c r="N36" i="34"/>
  <c r="I43" i="34"/>
  <c r="P36" i="40"/>
  <c r="P43" i="40" s="1"/>
  <c r="Q36" i="34"/>
  <c r="L18" i="40"/>
  <c r="M18" i="34"/>
  <c r="J18" i="40"/>
  <c r="K18" i="34"/>
  <c r="M17" i="34"/>
  <c r="L17" i="40"/>
  <c r="J17" i="40"/>
  <c r="K17" i="34"/>
  <c r="J15" i="40"/>
  <c r="K15" i="34"/>
  <c r="J16" i="40"/>
  <c r="K16" i="34"/>
  <c r="M16" i="34"/>
  <c r="L16" i="40"/>
  <c r="L15" i="40"/>
  <c r="M15" i="34"/>
  <c r="M14" i="34"/>
  <c r="M14" i="40" s="1"/>
  <c r="H45" i="34"/>
  <c r="I45" i="34" s="1"/>
  <c r="I45" i="40" s="1"/>
  <c r="H47" i="34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P45" i="34" s="1"/>
  <c r="I32" i="40" l="1"/>
  <c r="V14" i="40"/>
  <c r="V32" i="40" s="1"/>
  <c r="S19" i="34"/>
  <c r="S19" i="40" s="1"/>
  <c r="N19" i="34"/>
  <c r="N19" i="40" s="1"/>
  <c r="K19" i="40"/>
  <c r="M19" i="40"/>
  <c r="Q19" i="34"/>
  <c r="N36" i="40"/>
  <c r="N43" i="40" s="1"/>
  <c r="N43" i="34"/>
  <c r="K36" i="40"/>
  <c r="K43" i="40" s="1"/>
  <c r="S43" i="40" s="1"/>
  <c r="K43" i="34"/>
  <c r="S43" i="34" s="1"/>
  <c r="S45" i="40" s="1"/>
  <c r="Q36" i="40"/>
  <c r="Q43" i="40" s="1"/>
  <c r="R43" i="40" s="1"/>
  <c r="R36" i="34"/>
  <c r="R36" i="40" s="1"/>
  <c r="Q43" i="34"/>
  <c r="R43" i="34" s="1"/>
  <c r="R45" i="40" s="1"/>
  <c r="K18" i="40"/>
  <c r="S18" i="34"/>
  <c r="S18" i="40" s="1"/>
  <c r="N18" i="34"/>
  <c r="N18" i="40" s="1"/>
  <c r="M18" i="40"/>
  <c r="Q18" i="34"/>
  <c r="K17" i="40"/>
  <c r="S17" i="34"/>
  <c r="S17" i="40" s="1"/>
  <c r="N17" i="34"/>
  <c r="N17" i="40" s="1"/>
  <c r="M17" i="40"/>
  <c r="Q17" i="34"/>
  <c r="K16" i="40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M47" i="34" s="1"/>
  <c r="M47" i="40" s="1"/>
  <c r="H47" i="40"/>
  <c r="I47" i="34"/>
  <c r="M16" i="40"/>
  <c r="Q16" i="34"/>
  <c r="Q14" i="34"/>
  <c r="Q14" i="40" s="1"/>
  <c r="P47" i="34"/>
  <c r="P47" i="40" s="1"/>
  <c r="H45" i="40"/>
  <c r="S14" i="34"/>
  <c r="S14" i="40" s="1"/>
  <c r="K14" i="40"/>
  <c r="P45" i="40"/>
  <c r="C24" i="14"/>
  <c r="H48" i="34"/>
  <c r="I48" i="34" s="1"/>
  <c r="K32" i="34"/>
  <c r="N14" i="34"/>
  <c r="N14" i="40" s="1"/>
  <c r="G26" i="33"/>
  <c r="H26" i="33" s="1"/>
  <c r="R26" i="33" s="1"/>
  <c r="R19" i="34" l="1"/>
  <c r="R19" i="40" s="1"/>
  <c r="Q19" i="40"/>
  <c r="R18" i="34"/>
  <c r="R18" i="40" s="1"/>
  <c r="Q18" i="40"/>
  <c r="Q17" i="40"/>
  <c r="R17" i="34"/>
  <c r="R17" i="40" s="1"/>
  <c r="K32" i="40"/>
  <c r="S32" i="40" s="1"/>
  <c r="M45" i="34"/>
  <c r="M45" i="40" s="1"/>
  <c r="M32" i="40"/>
  <c r="N32" i="40"/>
  <c r="R16" i="34"/>
  <c r="R16" i="40" s="1"/>
  <c r="Q16" i="40"/>
  <c r="R15" i="34"/>
  <c r="R15" i="40" s="1"/>
  <c r="Q15" i="40"/>
  <c r="R14" i="34"/>
  <c r="R14" i="40" s="1"/>
  <c r="Q32" i="34"/>
  <c r="Q45" i="34" s="1"/>
  <c r="Q45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M48" i="34" l="1"/>
  <c r="M48" i="40" s="1"/>
  <c r="Q32" i="40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G62" i="33"/>
  <c r="L62" i="33"/>
  <c r="A79" i="33"/>
  <c r="P62" i="33"/>
  <c r="G63" i="33" l="1"/>
  <c r="H63" i="33" s="1"/>
  <c r="Q48" i="34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G61" i="33"/>
  <c r="G64" i="33" s="1"/>
  <c r="G75" i="33" s="1"/>
  <c r="Q62" i="33"/>
  <c r="Q63" i="33"/>
  <c r="H62" i="33"/>
  <c r="R48" i="34" l="1"/>
  <c r="O61" i="33"/>
  <c r="O63" i="33"/>
  <c r="Q63" i="40"/>
  <c r="R63" i="40" s="1"/>
  <c r="Q59" i="34"/>
  <c r="Q63" i="34" s="1"/>
  <c r="R63" i="34" s="1"/>
  <c r="S61" i="34"/>
  <c r="H5" i="34"/>
  <c r="S59" i="34"/>
  <c r="S61" i="40" s="1"/>
  <c r="G24" i="14"/>
  <c r="K63" i="34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H61" i="33"/>
  <c r="H64" i="33" s="1"/>
  <c r="H75" i="33" s="1"/>
  <c r="Q61" i="33"/>
  <c r="G79" i="33"/>
  <c r="G80" i="33"/>
  <c r="B10" i="33"/>
  <c r="O64" i="33" l="1"/>
  <c r="O75" i="33" s="1"/>
  <c r="O80" i="33" s="1"/>
  <c r="R59" i="34"/>
  <c r="R61" i="40" s="1"/>
  <c r="Q64" i="34"/>
  <c r="R64" i="34" s="1"/>
  <c r="N64" i="34"/>
  <c r="N64" i="40"/>
  <c r="N63" i="40"/>
  <c r="L64" i="33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<sst xmlns="http://schemas.openxmlformats.org/spreadsheetml/2006/main" count="941" uniqueCount="270">
  <si>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</si>
  <si>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</si>
  <si>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</si>
  <si>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</si>
  <si>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</si>
  <si>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</si>
  <si>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</si>
  <si>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</si>
  <si>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</si>
  <si>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</si>
  <si>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</si>
  <si>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</si>
  <si>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</si>
  <si>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</si>
  <si>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</si>
  <si>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</si>
  <si>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</si>
  <si>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</si>
  <si>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</si>
  <si>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</si>
  <si>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</si>
  <si>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</si>
  <si>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</si>
  <si>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</si>
  <si>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</si>
  <si>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</si>
  <si>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</si>
  <si>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</si>
  <si>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</si>
  <si>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</si>
  <si>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</si>
  <si>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</si>
  <si>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</si>
  <si>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</si>
  <si>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</si>
  <si>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</si>
  <si>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</si>
  <si>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</si>
  <si>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</si>
  <si>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</si>
  <si>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</si>
  <si>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</si>
  <si>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</si>
  <si>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</si>
  <si>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</si>
  <si>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</si>
  <si>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</si>
  <si>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</si>
  <si>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</si>
  <si>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</si>
  <si>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</si>
  <si>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</si>
  <si>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</si>
  <si>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</si>
  <si>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</si>
  <si>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</si>
  <si>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</si>
  <si>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</si>
  <si>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</si>
  <si>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</si>
  <si>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</si>
  <si>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</si>
  <si>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</si>
  <si>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</si>
  <si>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</si>
  <si>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</si>
  <si>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</si>
  <si>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</si>
  <si>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</si>
  <si>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</si>
  <si>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</si>
  <si>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</si>
  <si>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</si>
  <si>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</si>
  <si>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</si>
  <si>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</si>
  <si>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</si>
  <si>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</si>
  <si>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</si>
  <si>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</si>
  <si>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</si>
  <si>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</si>
  <si>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</si>
  <si>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</si>
  <si>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</si>
  <si>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</si>
  <si>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</si>
  <si>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</si>
  <si>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</si>
  <si>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</si>
  <si>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</si>
  <si>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</si>
  <si>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</si>
  <si>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</si>
  <si>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</si>
  <si>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</si>
  <si>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</si>
  <si>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</si>
  <si>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</si>
  <si>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</si>
  <si>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</si>
  <si>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</si>
  <si>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</si>
  <si>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</si>
  <si>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</si>
  <si>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</si>
  <si>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</si>
  <si>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</si>
  <si>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</si>
  <si>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</si>
  <si>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</si>
  <si>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</si>
  <si>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</si>
  <si>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</si>
  <si>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</si>
  <si>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</si>
  <si>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</si>
  <si>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</si>
  <si>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</si>
  <si>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</si>
  <si>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</si>
  <si>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</si>
  <si>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</si>
  <si>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</si>
  <si>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</si>
  <si>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</si>
  <si>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</si>
  <si>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</si>
  <si>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</si>
  <si>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</si>
  <si>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</si>
  <si>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</si>
  <si>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</si>
  <si>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</si>
  <si>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</si>
  <si>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</si>
  <si>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</si>
  <si>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</si>
  <si>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</si>
  <si>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</si>
  <si>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</si>
  <si>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</si>
  <si>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</si>
  <si>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</si>
  <si>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</si>
  <si>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</si>
  <si>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</si>
  <si>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</si>
  <si>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</si>
  <si>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</si>
  <si>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</si>
  <si>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</si>
  <si>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</si>
  <si>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</si>
  <si>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</si>
  <si>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</si>
  <si>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</si>
  <si>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</si>
  <si>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</si>
  <si>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</si>
  <si>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</si>
  <si>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</si>
  <si>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</si>
  <si>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</si>
  <si>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</si>
  <si>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</si>
  <si>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</si>
  <si>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</si>
  <si>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</si>
  <si>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</si>
  <si>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</si>
  <si>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</si>
  <si>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</si>
  <si>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</si>
  <si>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</si>
  <si>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</si>
  <si>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</si>
  <si>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</si>
  <si>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</si>
  <si>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</si>
  <si>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</si>
  <si>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</si>
  <si>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</si>
  <si>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</si>
  <si>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</si>
  <si>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</si>
  <si>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</si>
  <si>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</si>
  <si>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</si>
  <si>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</si>
  <si>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</si>
  <si>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</si>
  <si>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</si>
  <si>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</si>
  <si>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</si>
  <si>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</si>
  <si>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</si>
  <si>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</si>
  <si>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</si>
  <si>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</si>
  <si>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</si>
  <si>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</si>
  <si>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</si>
  <si>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</si>
  <si>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</si>
  <si>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</si>
  <si>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</si>
  <si>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</si>
  <si>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</si>
  <si>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</si>
  <si>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</si>
  <si>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</si>
  <si>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</si>
  <si>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</si>
  <si>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</si>
  <si>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</si>
  <si>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</si>
  <si>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</si>
  <si>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</si>
  <si>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</si>
  <si>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</si>
  <si>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</si>
  <si>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</si>
  <si>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</si>
  <si>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</si>
  <si>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</si>
  <si>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</si>
  <si>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</si>
  <si>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</si>
  <si>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</si>
  <si>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</si>
  <si>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</si>
  <si>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</si>
  <si>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</si>
  <si>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</si>
  <si>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</si>
  <si>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</si>
  <si>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</si>
  <si>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</si>
  <si>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</si>
  <si>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</si>
  <si>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</si>
  <si>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</si>
  <si>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</si>
  <si>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</si>
  <si>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</si>
  <si>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</si>
  <si>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</si>
  <si>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</si>
  <si>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</si>
  <si>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</si>
  <si>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</si>
  <si>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</si>
  <si>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</si>
  <si>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</si>
  <si>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</si>
  <si>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</si>
  <si>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</si>
  <si>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</si>
  <si>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</si>
  <si>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</si>
  <si>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</si>
  <si>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</si>
  <si>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</si>
  <si>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</si>
  <si>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PEGA</t>
  </si>
  <si>
    <t>AGILE</t>
  </si>
  <si>
    <t>Quote</t>
  </si>
  <si>
    <t>Full Implementation</t>
  </si>
  <si>
    <t>AUTOMATION_TEST SIZING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</si>
</sst>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C13" sqref="C13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ht="25.5" x14ac:dyDescent="0.2">
      <c r="A3" s="2" t="s">
        <v>157</v>
      </c>
      <c r="B3" s="454" t="s">
        <v>269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43101</v>
      </c>
      <c r="W7" s="42"/>
    </row>
    <row r="8" spans="1:23" x14ac:dyDescent="0.2">
      <c r="A8" s="2" t="s">
        <v>5</v>
      </c>
      <c r="B8" s="84">
        <f>MAX(BID!B7)</f>
        <v>43317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267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265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268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266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530280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335790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194490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0.36676849966055669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368</v>
      </c>
      <c r="B21" s="369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1976</v>
      </c>
      <c r="C24" s="79">
        <f>BID!P32+BID!P43</f>
        <v>471360</v>
      </c>
      <c r="D24" s="79">
        <f>BID!P47+BID!P46</f>
        <v>0</v>
      </c>
      <c r="E24" s="79">
        <f>BID!P45</f>
        <v>58920</v>
      </c>
      <c r="F24" s="79"/>
      <c r="G24" s="112">
        <f>BID!P61</f>
        <v>530280</v>
      </c>
      <c r="H24" s="79">
        <f>BID!K59</f>
        <v>684990</v>
      </c>
      <c r="I24" s="79">
        <f>BID!M59</f>
        <v>335790</v>
      </c>
      <c r="J24" s="79">
        <f>G24-I24</f>
        <v>194490</v>
      </c>
      <c r="K24" s="151">
        <f>IF(G24&gt;0,J24/G24,0)</f>
        <v>0.36676849966055669</v>
      </c>
      <c r="L24" s="195">
        <f>IF(B24&gt;0,G24/B24,0)</f>
        <v>268.36032388663966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1976</v>
      </c>
      <c r="C27" s="80">
        <f>SUM(C24:C26)</f>
        <v>471360</v>
      </c>
      <c r="D27" s="80">
        <f>SUM(D24:D26)</f>
        <v>0</v>
      </c>
      <c r="E27" s="80">
        <f>SUM(E24:E26)</f>
        <v>58920</v>
      </c>
      <c r="F27" s="80"/>
      <c r="G27" s="114">
        <f>SUM(G24:G26)</f>
        <v>530280</v>
      </c>
      <c r="H27" s="80">
        <f>SUM(H24:H26)</f>
        <v>684990</v>
      </c>
      <c r="I27" s="80">
        <f>SUM(I24:I26)</f>
        <v>335790</v>
      </c>
      <c r="J27" s="81">
        <f>G27-I27</f>
        <v>194490</v>
      </c>
      <c r="K27" s="154">
        <f>IF(G27&gt;0,J27/G27,0)</f>
        <v>0.36676849966055669</v>
      </c>
      <c r="L27" s="196">
        <f>IF(B27&gt;0,G27/B27,0)</f>
        <v>268.36032388663966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sheetProtection sheet="1" objects="1" scenarios="1"/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AUTOMATION_TEST SIZING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43219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43314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43219</v>
      </c>
      <c r="F15" s="304">
        <f>IF(INVESTMENT!F15="","",INVESTMENT!F15)</f>
        <v>43313</v>
      </c>
      <c r="G15" s="451">
        <f>IF(INVESTMENT!G15="","",INVESTMENT!G15)</f>
        <v>1</v>
      </c>
      <c r="H15" s="305">
        <f>INVESTMENT!H15</f>
        <v>68</v>
      </c>
      <c r="I15" s="306">
        <f>INVESTMENT!I15</f>
        <v>544</v>
      </c>
      <c r="J15" s="307">
        <f>INVESTMENT!J15</f>
        <v>330</v>
      </c>
      <c r="K15" s="308">
        <f>INVESTMENT!K15</f>
        <v>179520</v>
      </c>
      <c r="L15" s="309">
        <f>INVESTMENT!L15</f>
        <v>162</v>
      </c>
      <c r="M15" s="309">
        <f>INVESTMENT!M15</f>
        <v>88128</v>
      </c>
      <c r="N15" s="308">
        <f>INVESTMENT!N15</f>
        <v>91392</v>
      </c>
      <c r="O15" s="307">
        <f>INVESTMENT!O15</f>
        <v>300</v>
      </c>
      <c r="P15" s="309">
        <f>INVESTMENT!P15</f>
        <v>163200</v>
      </c>
      <c r="Q15" s="308">
        <f>INVESTMENT!Q15</f>
        <v>75072</v>
      </c>
      <c r="R15" s="310">
        <f>INVESTMENT!R15</f>
        <v>0.46</v>
      </c>
      <c r="S15" s="311">
        <f>INVESTMENT!S15</f>
        <v>9.0909090909090939E-2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43219</v>
      </c>
      <c r="F16" s="313">
        <f>IF(INVESTMENT!F16="","",INVESTMENT!F16)</f>
        <v>43314</v>
      </c>
      <c r="G16" s="452">
        <f>IF(INVESTMENT!G16="","",INVESTMENT!G16)</f>
        <v>1</v>
      </c>
      <c r="H16" s="315">
        <f>INVESTMENT!H16</f>
        <v>69</v>
      </c>
      <c r="I16" s="316">
        <f>INVESTMENT!I16</f>
        <v>552</v>
      </c>
      <c r="J16" s="272">
        <f>INVESTMENT!J16</f>
        <v>305</v>
      </c>
      <c r="K16" s="317">
        <f>INVESTMENT!K16</f>
        <v>168360</v>
      </c>
      <c r="L16" s="273">
        <f>INVESTMENT!L16</f>
        <v>139</v>
      </c>
      <c r="M16" s="273">
        <f>INVESTMENT!M16</f>
        <v>76728</v>
      </c>
      <c r="N16" s="317">
        <f>INVESTMENT!N16</f>
        <v>91632</v>
      </c>
      <c r="O16" s="272">
        <f>INVESTMENT!O16</f>
        <v>200</v>
      </c>
      <c r="P16" s="273">
        <f>INVESTMENT!P16</f>
        <v>110400</v>
      </c>
      <c r="Q16" s="317">
        <f>INVESTMENT!Q16</f>
        <v>33672</v>
      </c>
      <c r="R16" s="318">
        <f>INVESTMENT!R16</f>
        <v>0.30499999999999999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137</v>
      </c>
      <c r="I32" s="330">
        <f>SUM(I15:I31)</f>
        <v>1096</v>
      </c>
      <c r="J32" s="269"/>
      <c r="K32" s="331">
        <f>SUM(K15:K31)</f>
        <v>347880</v>
      </c>
      <c r="L32" s="332"/>
      <c r="M32" s="332">
        <f>SUM(M15:M31)</f>
        <v>164856</v>
      </c>
      <c r="N32" s="331">
        <f>SUM(N15:N31)</f>
        <v>183024</v>
      </c>
      <c r="P32" s="332">
        <f>SUM(P15:P31)</f>
        <v>273600</v>
      </c>
      <c r="Q32" s="331">
        <f>SUM(Q15:Q31)</f>
        <v>108744</v>
      </c>
      <c r="R32" s="333">
        <f>IF(H32=0,"",Q32/P32)</f>
        <v>0.39745614035087717</v>
      </c>
      <c r="S32" s="292">
        <f>IF(H32=0,"",1-P32/K32)</f>
        <v>0.21352190410486371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137</v>
      </c>
      <c r="I48" s="342">
        <f>INVESTMENT!I48</f>
        <v>1096</v>
      </c>
      <c r="J48" s="269"/>
      <c r="K48" s="341">
        <f>INVESTMENT!K48</f>
        <v>347880</v>
      </c>
      <c r="L48" s="332"/>
      <c r="M48" s="341">
        <f>M32+M43+M45+M46+M47</f>
        <v>164856</v>
      </c>
      <c r="N48" s="341">
        <f>N32+N43+N45+N47+N58+N46</f>
        <v>183024</v>
      </c>
      <c r="P48" s="341">
        <f>P32+P43+P45+P46+P47</f>
        <v>273600</v>
      </c>
      <c r="Q48" s="341">
        <f>Q32+Q43+Q45+Q47+Q58+Q46</f>
        <v>108744</v>
      </c>
      <c r="R48" s="333">
        <f>IF(ISBLANK(A48),"",IF(P48&gt;0,Q48/P48,0))</f>
        <v>0.39745614035087717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137</v>
      </c>
      <c r="I59" s="330">
        <f>I48+I56</f>
        <v>1096</v>
      </c>
      <c r="J59" s="269"/>
      <c r="K59" s="331">
        <f>K48</f>
        <v>347880</v>
      </c>
      <c r="L59" s="332"/>
      <c r="M59" s="332">
        <f>M48+M58</f>
        <v>164856</v>
      </c>
      <c r="N59" s="331">
        <f>N48</f>
        <v>183024</v>
      </c>
      <c r="P59" s="332">
        <f>P48+P58</f>
        <v>273600</v>
      </c>
      <c r="Q59" s="331">
        <f>INVESTMENT!Q59</f>
        <v>108744</v>
      </c>
      <c r="R59" s="333">
        <f>INVESTMENT!R59</f>
        <v>0.39745614035087717</v>
      </c>
      <c r="S59" s="292">
        <f>INVESTMENT!S59</f>
        <v>0.21352190410486371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273600</v>
      </c>
      <c r="Q61" s="281">
        <f>INVESTMENT!Q61</f>
        <v>108744</v>
      </c>
      <c r="R61" s="351">
        <f>INVESTMENT!R61</f>
        <v>0.39745614035087717</v>
      </c>
      <c r="S61" s="352">
        <f>INVESTMENT!S61</f>
        <v>0.21352190410486371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130.15</v>
      </c>
      <c r="I63" s="330">
        <f>INVESTMENT!I63</f>
        <v>1041.2</v>
      </c>
      <c r="J63" s="269"/>
      <c r="K63" s="331">
        <f>INVESTMENT!K63</f>
        <v>330486</v>
      </c>
      <c r="L63" s="332"/>
      <c r="M63" s="331">
        <f>INVESTMENT!M63</f>
        <v>156613.19999999998</v>
      </c>
      <c r="N63" s="331">
        <f>INVESTMENT!N63</f>
        <v>173872.8</v>
      </c>
      <c r="O63" s="291"/>
      <c r="P63" s="332">
        <f>INVESTMENT!P63</f>
        <v>259920</v>
      </c>
      <c r="Q63" s="331">
        <f>INVESTMENT!Q63</f>
        <v>103306.79999999999</v>
      </c>
      <c r="R63" s="333">
        <f>INVESTMENT!R63</f>
        <v>0.39745614035087717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164.4</v>
      </c>
      <c r="I64" s="330">
        <f>INVESTMENT!I64</f>
        <v>1315.2</v>
      </c>
      <c r="J64" s="269"/>
      <c r="K64" s="331">
        <f>INVESTMENT!K64</f>
        <v>417456</v>
      </c>
      <c r="L64" s="332"/>
      <c r="M64" s="331">
        <f>INVESTMENT!M64</f>
        <v>197827.19999999998</v>
      </c>
      <c r="N64" s="331">
        <f>INVESTMENT!N64</f>
        <v>219628.79999999999</v>
      </c>
      <c r="O64" s="291"/>
      <c r="P64" s="332">
        <f>INVESTMENT!P64</f>
        <v>328320</v>
      </c>
      <c r="Q64" s="331">
        <f>INVESTMENT!Q64</f>
        <v>130492.79999999999</v>
      </c>
      <c r="R64" s="333">
        <f>INVESTMENT!R64</f>
        <v>0.39745614035087717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AUTOMATION_TEST SIZING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43101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43317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UEA</v>
      </c>
      <c r="B14" s="190" t="str">
        <f>IF(BID!B14="","",BID!B14)</f>
        <v/>
      </c>
      <c r="C14" s="137"/>
      <c r="D14" s="401">
        <f>IF(BID!D14="","",BID!D14)</f>
        <v>1</v>
      </c>
      <c r="E14" s="402">
        <f>IF(BID!E14="","",BID!E14)</f>
        <v>43252</v>
      </c>
      <c r="F14" s="402">
        <f>IF(BID!F14="","",BID!F14)</f>
        <v>43317</v>
      </c>
      <c r="G14" s="403">
        <f>IF(BID!G14="","",BID!G14)</f>
        <v>1</v>
      </c>
      <c r="H14" s="404">
        <f>IF(BID!H14="","",BID!H14)</f>
        <v>46</v>
      </c>
      <c r="I14" s="404">
        <f>IF(BID!I14="","",BID!I14)</f>
        <v>368</v>
      </c>
      <c r="J14" s="404">
        <f>IF(BID!J14="","",BID!J14)</f>
        <v>305</v>
      </c>
      <c r="K14" s="405">
        <f>IF(BID!K14="","",BID!K14)</f>
        <v>112240</v>
      </c>
      <c r="L14" s="217">
        <f>IF(BID!L14="","",BID!L14)</f>
        <v>106</v>
      </c>
      <c r="M14" s="405">
        <f>IF(BID!M14="","",BID!M14)</f>
        <v>39008</v>
      </c>
      <c r="N14" s="405">
        <f>IF(BID!N14="","",BID!N14)</f>
        <v>73232</v>
      </c>
      <c r="O14" s="217">
        <f>IF(BID!O14="","",BID!O14)</f>
        <v>120</v>
      </c>
      <c r="P14" s="405">
        <f>IF(BID!P14="","",BID!P14)</f>
        <v>44160</v>
      </c>
      <c r="Q14" s="405">
        <f>IF(BID!Q14="","",BID!Q14)</f>
        <v>5152</v>
      </c>
      <c r="R14" s="406">
        <f>IF(BID!R14="","",BID!R14)</f>
        <v>0.11666666666666667</v>
      </c>
      <c r="S14" s="407">
        <f>IF(BID!S14="","",BID!S14)</f>
        <v>0.60655737704918034</v>
      </c>
      <c r="T14" s="408">
        <f>IF(ISBLANK(A14),"",VLOOKUP(A14,gsrates!$A$3:$AL$38,38,FALSE))</f>
        <v>1</v>
      </c>
      <c r="U14" s="380" t="str">
        <f t="shared" ref="U14:U31" si="0">IF(ISBLANK(A14),"",CONCATENATE(C14,"-",$B$5))</f>
        <v>-NA</v>
      </c>
      <c r="V14" s="381">
        <f>IF(T14=1,I14,0)</f>
        <v>368</v>
      </c>
      <c r="Y14" s="96" t="s">
        <v>155</v>
      </c>
    </row>
    <row r="15" spans="1:148" outlineLevel="1" x14ac:dyDescent="0.2">
      <c r="A15" s="190" t="str">
        <f>IF(BID!A15="","",BID!A15)</f>
        <v>EL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43252</v>
      </c>
      <c r="F15" s="402">
        <f>IF(BID!F15="","",BID!F15)</f>
        <v>43317</v>
      </c>
      <c r="G15" s="403">
        <f>IF(BID!G15="","",BID!G15)</f>
        <v>1</v>
      </c>
      <c r="H15" s="404">
        <f>IF(BID!H15="","",BID!H15)</f>
        <v>46</v>
      </c>
      <c r="I15" s="404">
        <f>IF(BID!I15="","",BID!I15)</f>
        <v>368</v>
      </c>
      <c r="J15" s="404">
        <f>IF(BID!J15="","",BID!J15)</f>
        <v>305</v>
      </c>
      <c r="K15" s="405">
        <f>IF(BID!K15="","",BID!K15)</f>
        <v>112240</v>
      </c>
      <c r="L15" s="217">
        <f>IF(BID!L15="","",BID!L15)</f>
        <v>139</v>
      </c>
      <c r="M15" s="405">
        <f>IF(BID!M15="","",BID!M15)</f>
        <v>51152</v>
      </c>
      <c r="N15" s="405">
        <f>IF(BID!N15="","",BID!N15)</f>
        <v>61088</v>
      </c>
      <c r="O15" s="217">
        <f>IF(BID!O15="","",BID!O15)</f>
        <v>150</v>
      </c>
      <c r="P15" s="405">
        <f>IF(BID!P15="","",BID!P15)</f>
        <v>55200</v>
      </c>
      <c r="Q15" s="405">
        <f>IF(BID!Q15="","",BID!Q15)</f>
        <v>4048</v>
      </c>
      <c r="R15" s="406">
        <f>IF(BID!R15="","",BID!R15)</f>
        <v>7.3333333333333334E-2</v>
      </c>
      <c r="S15" s="407">
        <f>IF(BID!S15="","",BID!S15)</f>
        <v>0.50819672131147542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PDA</v>
      </c>
      <c r="B16" s="190" t="str">
        <f>IF(BID!B16="","",BID!B16)</f>
        <v/>
      </c>
      <c r="C16" s="137"/>
      <c r="D16" s="401">
        <f>IF(BID!D16="","",BID!D16)</f>
        <v>1</v>
      </c>
      <c r="E16" s="402">
        <f>IF(BID!E16="","",BID!E16)</f>
        <v>43101</v>
      </c>
      <c r="F16" s="402">
        <f>IF(BID!F16="","",BID!F16)</f>
        <v>43317</v>
      </c>
      <c r="G16" s="403">
        <f>IF(BID!G16="","",BID!G16)</f>
        <v>1</v>
      </c>
      <c r="H16" s="404">
        <f>IF(BID!H16="","",BID!H16)</f>
        <v>155</v>
      </c>
      <c r="I16" s="404">
        <f>IF(BID!I16="","",BID!I16)</f>
        <v>1240</v>
      </c>
      <c r="J16" s="404">
        <f>IF(BID!J16="","",BID!J16)</f>
        <v>310</v>
      </c>
      <c r="K16" s="405">
        <f>IF(BID!K16="","",BID!K16)</f>
        <v>384400</v>
      </c>
      <c r="L16" s="217">
        <f>IF(BID!L16="","",BID!L16)</f>
        <v>168</v>
      </c>
      <c r="M16" s="405">
        <f>IF(BID!M16="","",BID!M16)</f>
        <v>208320</v>
      </c>
      <c r="N16" s="405">
        <f>IF(BID!N16="","",BID!N16)</f>
        <v>176080</v>
      </c>
      <c r="O16" s="217">
        <f>IF(BID!O16="","",BID!O16)</f>
        <v>300</v>
      </c>
      <c r="P16" s="405">
        <f>IF(BID!P16="","",BID!P16)</f>
        <v>372000</v>
      </c>
      <c r="Q16" s="405">
        <f>IF(BID!Q16="","",BID!Q16)</f>
        <v>163680</v>
      </c>
      <c r="R16" s="406">
        <f>IF(BID!R16="","",BID!R16)</f>
        <v>0.44</v>
      </c>
      <c r="S16" s="407">
        <f>IF(BID!S16="","",BID!S16)</f>
        <v>3.2258064516129004E-2</v>
      </c>
      <c r="T16" s="408">
        <f>IF(ISBLANK(A16),"",VLOOKUP(A16,gsrates!$A$3:$AL$38,38,FALSE))</f>
        <v>0</v>
      </c>
      <c r="V16" s="381">
        <f t="shared" si="1"/>
        <v>0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 t="str">
        <f>IF(BID!O17="","",BID!O17)</f>
        <v/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 t="str">
        <f>IF(BID!O18="","",BID!O18)</f>
        <v/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 t="str">
        <f>IF(BID!O19="","",BID!O19)</f>
        <v/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 t="str">
        <f>IF(BID!O20="","",BID!O20)</f>
        <v/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 t="str">
        <f>IF(BID!O21="","",BID!O21)</f>
        <v/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247</v>
      </c>
      <c r="I32" s="412">
        <f>SUM(I14:I31)</f>
        <v>1976</v>
      </c>
      <c r="J32" s="33"/>
      <c r="K32" s="413">
        <f>SUM(K14:K31)</f>
        <v>608880</v>
      </c>
      <c r="L32" s="215"/>
      <c r="M32" s="215">
        <f>SUM(M14:M31)</f>
        <v>298480</v>
      </c>
      <c r="N32" s="413">
        <f>SUM(N14:N31)</f>
        <v>310400</v>
      </c>
      <c r="P32" s="215">
        <f>SUM(P14:P31)</f>
        <v>471360</v>
      </c>
      <c r="Q32" s="413">
        <f>SUM(Q14:Q31)</f>
        <v>172880</v>
      </c>
      <c r="R32" s="414">
        <f>IF(H32=0,"",Q32/P32)</f>
        <v>0.36676849966055669</v>
      </c>
      <c r="S32" s="51">
        <f>IF(H32=0,"",1-P32/K32)</f>
        <v>0.22585731178557356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76110</v>
      </c>
      <c r="L45" s="215"/>
      <c r="M45" s="421">
        <f>BID!M45</f>
        <v>37310</v>
      </c>
      <c r="N45" s="421">
        <f>BID!N45</f>
        <v>38800</v>
      </c>
      <c r="P45" s="421">
        <f>BID!P45</f>
        <v>58920</v>
      </c>
      <c r="Q45" s="421">
        <f>BID!Q45</f>
        <v>21610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247</v>
      </c>
      <c r="I48" s="422">
        <f>BID!I48</f>
        <v>1976</v>
      </c>
      <c r="J48" s="33"/>
      <c r="K48" s="421">
        <f>BID!K48</f>
        <v>684990</v>
      </c>
      <c r="L48" s="215"/>
      <c r="M48" s="421">
        <f>BID!M48</f>
        <v>335790</v>
      </c>
      <c r="N48" s="421">
        <f>BID!N48</f>
        <v>349200</v>
      </c>
      <c r="P48" s="421">
        <f>BID!P48</f>
        <v>530280</v>
      </c>
      <c r="Q48" s="421">
        <f>BID!Q48</f>
        <v>194490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247</v>
      </c>
      <c r="I59" s="412">
        <f>I48+I56</f>
        <v>1976</v>
      </c>
      <c r="J59" s="33"/>
      <c r="K59" s="413">
        <f>K48</f>
        <v>684990</v>
      </c>
      <c r="L59" s="215"/>
      <c r="M59" s="215">
        <f>M48+M58</f>
        <v>335790</v>
      </c>
      <c r="N59" s="413">
        <f>N48</f>
        <v>349200</v>
      </c>
      <c r="P59" s="215">
        <f>P48+P58</f>
        <v>530280</v>
      </c>
      <c r="Q59" s="413">
        <f>Q48</f>
        <v>194490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530280</v>
      </c>
      <c r="Q61" s="67">
        <f>P61-M59</f>
        <v>194490</v>
      </c>
      <c r="R61" s="414">
        <f>BID!R59</f>
        <v>0.36676849966055669</v>
      </c>
      <c r="S61" s="414">
        <f>BID!S59</f>
        <v>0.22585731178557356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234.64999999999998</v>
      </c>
      <c r="I63" s="412">
        <f>I59*(1-$G$8)</f>
        <v>1877.1999999999998</v>
      </c>
      <c r="J63" s="33"/>
      <c r="K63" s="413">
        <f>K59*(1-$G$8)</f>
        <v>650740.5</v>
      </c>
      <c r="L63" s="215"/>
      <c r="M63" s="215">
        <f>M59*(1-$G$8)</f>
        <v>319000.5</v>
      </c>
      <c r="N63" s="413">
        <f>N59*(1-$G$8)</f>
        <v>331740</v>
      </c>
      <c r="O63" s="386"/>
      <c r="P63" s="215">
        <f>P59*(1-$G$8)</f>
        <v>503766</v>
      </c>
      <c r="Q63" s="413">
        <f>Q59*(1-$G$8)</f>
        <v>184765.5</v>
      </c>
      <c r="R63" s="414">
        <f>IF(ISBLANK(A63),"",IF(P63&gt;0,Q63/P63,0))</f>
        <v>0.36676849966055669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296.39999999999998</v>
      </c>
      <c r="I64" s="412">
        <f>I59*(1+$G$9)</f>
        <v>2371.1999999999998</v>
      </c>
      <c r="J64" s="33"/>
      <c r="K64" s="413">
        <f>K59*(1+$G$9)</f>
        <v>821988</v>
      </c>
      <c r="L64" s="215"/>
      <c r="M64" s="215">
        <f>M59*(1+$G$9)</f>
        <v>402948</v>
      </c>
      <c r="N64" s="413">
        <f>N59*(1+$G$9)</f>
        <v>419040</v>
      </c>
      <c r="O64" s="386"/>
      <c r="P64" s="215">
        <f>P59*(1+$G$9)</f>
        <v>636336</v>
      </c>
      <c r="Q64" s="413">
        <f>Q59*(1+$G$9)</f>
        <v>233388</v>
      </c>
      <c r="R64" s="414">
        <f>IF(ISBLANK(A64),"",IF(P64&gt;0,Q64/P64,0))</f>
        <v>0.36676849966055669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6" sqref="B6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AUTOMATION_TEST SIZING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43101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43317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267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225</v>
      </c>
      <c r="B14" s="156"/>
      <c r="C14" s="86"/>
      <c r="D14" s="372">
        <v>1</v>
      </c>
      <c r="E14" s="157">
        <v>43252</v>
      </c>
      <c r="F14" s="157">
        <v>43317</v>
      </c>
      <c r="G14" s="158">
        <v>1</v>
      </c>
      <c r="H14" s="159">
        <f>IF(D14&gt;0,IF(ISBLANK(A14),"",(NETWORKDAYS(E14,F14)*G14)*D14),"")</f>
        <v>46</v>
      </c>
      <c r="I14" s="160">
        <f t="shared" ref="I14:I31" si="0">IF(ISBLANK(A14),"",H14*$B$9)</f>
        <v>368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112240</v>
      </c>
      <c r="L14" s="203">
        <f>IF(ISBLANK(A14),"",VLOOKUP(A14,gsrates!$A$3:$AK$38,VLOOKUP($B$5,gsrates!$A$41:$C$58,3,FALSE),FALSE))</f>
        <v>106</v>
      </c>
      <c r="M14" s="203">
        <f t="shared" ref="M14:M31" si="2">IF(ISBLANK(A14),"",L14*H14*8)</f>
        <v>39008</v>
      </c>
      <c r="N14" s="79">
        <f t="shared" ref="N14:N31" si="3">IF(ISBLANK(A14),"",K14-M14)</f>
        <v>73232</v>
      </c>
      <c r="O14" s="173">
        <v>120</v>
      </c>
      <c r="P14" s="203">
        <f t="shared" ref="P14:P31" si="4">IF(ISBLANK(A14),"",H14*O14*$B$9)</f>
        <v>44160</v>
      </c>
      <c r="Q14" s="79">
        <f t="shared" ref="Q14:Q31" si="5">IF(ISBLANK(A14),"",P14-M14)</f>
        <v>5152</v>
      </c>
      <c r="R14" s="151">
        <f t="shared" ref="R14:R31" si="6">IF(ISBLANK(A14),"",Q14/P14)</f>
        <v>0.11666666666666667</v>
      </c>
      <c r="S14" s="162">
        <f t="shared" ref="S14:S31" si="7">IF(ISBLANK(A14),"",1-P14/K14)</f>
        <v>0.60655737704918034</v>
      </c>
      <c r="T14" s="360">
        <f>IF(ISBLANK(A14),"",VLOOKUP(A14,gsrates!$A$3:$AL$38,38,FALSE))</f>
        <v>1</v>
      </c>
      <c r="U14" s="363" t="str">
        <f t="shared" ref="U14:U31" si="8">IF(ISBLANK(A14),"",CONCATENATE(C14,"-",$B$5))</f>
        <v>-NA</v>
      </c>
      <c r="V14" s="366">
        <f t="shared" ref="V14:V23" si="9">IF(T14=1,I14,0)</f>
        <v>368</v>
      </c>
      <c r="Y14" s="41" t="s">
        <v>155</v>
      </c>
    </row>
    <row r="15" spans="1:148" outlineLevel="1" x14ac:dyDescent="0.2">
      <c r="A15" s="156" t="s">
        <v>210</v>
      </c>
      <c r="B15" s="156"/>
      <c r="C15" s="86"/>
      <c r="D15" s="372">
        <v>1</v>
      </c>
      <c r="E15" s="157">
        <v>43252</v>
      </c>
      <c r="F15" s="157">
        <v>43317</v>
      </c>
      <c r="G15" s="158">
        <v>1</v>
      </c>
      <c r="H15" s="159">
        <f>IF(D15&gt;0,(IF(ISBLANK(A15),"",NETWORKDAYS(E15,F15)*G15)*D15),"")</f>
        <v>46</v>
      </c>
      <c r="I15" s="160">
        <f t="shared" si="0"/>
        <v>368</v>
      </c>
      <c r="J15" s="172">
        <f>IF(ISBLANK(A15),"",VLOOKUP(A15,gsrates!$A$3:$AK$38,VLOOKUP($B$5,gsrates!$A$41:$C$58,2,FALSE),FALSE))</f>
        <v>305</v>
      </c>
      <c r="K15" s="79">
        <f t="shared" si="1"/>
        <v>112240</v>
      </c>
      <c r="L15" s="203">
        <f>IF(ISBLANK(A15),"",VLOOKUP(A15,gsrates!$A$3:$AK$38,VLOOKUP($B$5,gsrates!$A$41:$C$58,3,FALSE),FALSE))</f>
        <v>139</v>
      </c>
      <c r="M15" s="203">
        <f t="shared" si="2"/>
        <v>51152</v>
      </c>
      <c r="N15" s="79">
        <f t="shared" si="3"/>
        <v>61088</v>
      </c>
      <c r="O15" s="173">
        <v>150</v>
      </c>
      <c r="P15" s="203">
        <f t="shared" si="4"/>
        <v>55200</v>
      </c>
      <c r="Q15" s="79">
        <f t="shared" si="5"/>
        <v>4048</v>
      </c>
      <c r="R15" s="151">
        <f t="shared" si="6"/>
        <v>7.3333333333333334E-2</v>
      </c>
      <c r="S15" s="162">
        <f t="shared" si="7"/>
        <v>0.50819672131147542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212</v>
      </c>
      <c r="B16" s="156"/>
      <c r="C16" s="86"/>
      <c r="D16" s="372">
        <v>1</v>
      </c>
      <c r="E16" s="157">
        <v>43101</v>
      </c>
      <c r="F16" s="157">
        <v>43317</v>
      </c>
      <c r="G16" s="158">
        <v>1</v>
      </c>
      <c r="H16" s="159">
        <f>IF(D16&gt;0,(IF(ISBLANK(A16),"",NETWORKDAYS(E16,F16)*G16)*D16),"")</f>
        <v>155</v>
      </c>
      <c r="I16" s="160">
        <f t="shared" si="0"/>
        <v>1240</v>
      </c>
      <c r="J16" s="172">
        <f>IF(ISBLANK(A16),"",VLOOKUP(A16,gsrates!$A$3:$AK$38,VLOOKUP($B$5,gsrates!$A$41:$C$58,2,FALSE),FALSE))</f>
        <v>310</v>
      </c>
      <c r="K16" s="79">
        <f t="shared" si="1"/>
        <v>384400</v>
      </c>
      <c r="L16" s="203">
        <f>IF(ISBLANK(A16),"",VLOOKUP(A16,gsrates!$A$3:$AK$38,VLOOKUP($B$5,gsrates!$A$41:$C$58,3,FALSE),FALSE))</f>
        <v>168</v>
      </c>
      <c r="M16" s="203">
        <f t="shared" si="2"/>
        <v>208320</v>
      </c>
      <c r="N16" s="79">
        <f t="shared" si="3"/>
        <v>176080</v>
      </c>
      <c r="O16" s="173">
        <v>300</v>
      </c>
      <c r="P16" s="203">
        <f t="shared" si="4"/>
        <v>372000</v>
      </c>
      <c r="Q16" s="79">
        <f t="shared" si="5"/>
        <v>163680</v>
      </c>
      <c r="R16" s="151">
        <f t="shared" si="6"/>
        <v>0.44</v>
      </c>
      <c r="S16" s="162">
        <f t="shared" si="7"/>
        <v>3.2258064516129004E-2</v>
      </c>
      <c r="T16" s="360">
        <f>IF(ISBLANK(A16),"",VLOOKUP(A16,gsrates!$A$3:$AL$38,38,FALSE))</f>
        <v>0</v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>IF(D17&gt;0,(IF(ISBLANK(A17),"",NETWORKDAYS(E17,F17)*G17)*D17),"")</f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/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ref="H18:H30" si="10">IF(D18&gt;0,(IF(ISBLANK(A18),"",NETWORKDAYS(E18,F18)*G18)*D18),"")</f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/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>IF(D19&gt;0,(IF(ISBLANK(A19),"",NETWORKDAYS(E19,F19)*G19)*D19),"")</f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/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/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/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247</v>
      </c>
      <c r="I32" s="9">
        <f>SUM(I14:I31)</f>
        <v>1976</v>
      </c>
      <c r="J32" s="31"/>
      <c r="K32" s="36">
        <f>SUM(K14:K31)</f>
        <v>608880</v>
      </c>
      <c r="L32" s="205"/>
      <c r="M32" s="205">
        <f>SUM(M14:M31)</f>
        <v>298480</v>
      </c>
      <c r="N32" s="36">
        <f>SUM(N14:N31)</f>
        <v>310400</v>
      </c>
      <c r="O32" s="33"/>
      <c r="P32" s="205">
        <f>SUM(P14:P31)</f>
        <v>471360</v>
      </c>
      <c r="Q32" s="36">
        <f>SUM(Q14:Q31)</f>
        <v>172880</v>
      </c>
      <c r="R32" s="15">
        <f>IF(H32=0,"",Q32/P32)</f>
        <v>0.36676849966055669</v>
      </c>
      <c r="S32" s="8">
        <f>IF(H32=0,"",1-P32/K32)</f>
        <v>0.22585731178557356</v>
      </c>
      <c r="T32" s="361">
        <f>SUM(T14:T31)</f>
        <v>1</v>
      </c>
      <c r="V32" s="361">
        <f>SUM(V14:V31)</f>
        <v>368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157"/>
      <c r="F36" s="157"/>
      <c r="G36" s="158"/>
      <c r="H36" s="9" t="str">
        <f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3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ref="H37:H42" si="20">IF(ISBLANK(A37),"",NETWORKDAYS(E37,F37)*G37)</f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1">IF(ISBLANK(A37),"",K37-M37)</f>
        <v/>
      </c>
      <c r="O37" s="89"/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3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20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1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3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20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1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3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20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1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3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20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1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3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20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1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2"/>
      <c r="U42" s="363" t="str">
        <f t="shared" si="19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76110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37310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38800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58920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21610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247</v>
      </c>
      <c r="I48" s="448">
        <f>IF(ISBLANK($B$6),0,H48*$B$9)</f>
        <v>1976</v>
      </c>
      <c r="J48" s="33"/>
      <c r="K48" s="17">
        <f>K32+K43+K45+K46+K47</f>
        <v>684990</v>
      </c>
      <c r="L48" s="205"/>
      <c r="M48" s="17">
        <f>M32+M43+M45+M46+M47</f>
        <v>335790</v>
      </c>
      <c r="N48" s="17">
        <f>N32+N43+N45+N47+N58+N46</f>
        <v>349200</v>
      </c>
      <c r="P48" s="17">
        <f>P32+P43+P45+P46+P47</f>
        <v>530280</v>
      </c>
      <c r="Q48" s="17">
        <f>Q32+Q43+Q45+Q47+Q58+Q46</f>
        <v>194490</v>
      </c>
      <c r="R48" s="15">
        <f>IF(ISBLANK(A48),"",IF(P48&gt;0,Q48/P48,0))</f>
        <v>0.36676849966055669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247</v>
      </c>
      <c r="I59" s="9">
        <f>I48+I56</f>
        <v>1976</v>
      </c>
      <c r="J59" s="31"/>
      <c r="K59" s="36">
        <f>K48</f>
        <v>684990</v>
      </c>
      <c r="L59" s="205"/>
      <c r="M59" s="205">
        <f>M48+M58</f>
        <v>335790</v>
      </c>
      <c r="N59" s="36">
        <f>N48</f>
        <v>349200</v>
      </c>
      <c r="O59" s="33"/>
      <c r="P59" s="205">
        <f>P48+P58</f>
        <v>530280</v>
      </c>
      <c r="Q59" s="36">
        <f>Q48</f>
        <v>194490</v>
      </c>
      <c r="R59" s="15">
        <f>IF(ISBLANK(A59),"",IF(P59&gt;0,Q59/P59,0))</f>
        <v>0.36676849966055669</v>
      </c>
      <c r="S59" s="8">
        <f>IF(ISBLANK(A59),"",IF(K59&gt;0,1-P59/K59,1))</f>
        <v>0.22585731178557356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530280</v>
      </c>
      <c r="Q61" s="43">
        <f>P61-M59</f>
        <v>194490</v>
      </c>
      <c r="R61" s="44">
        <f>IF(ISBLANK(A61),"",IF(P61&gt;0,Q61/P61,0))</f>
        <v>0.36676849966055669</v>
      </c>
      <c r="S61" s="45">
        <f>IF(ISBLANK(A61),"",IF(K59&gt;0,1-P61/K59,1))</f>
        <v>0.22585731178557356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234.64999999999998</v>
      </c>
      <c r="I63" s="9">
        <f>I59*(1-$G$8)</f>
        <v>1877.1999999999998</v>
      </c>
      <c r="J63" s="31"/>
      <c r="K63" s="36">
        <f>K59*(1-$G$8)</f>
        <v>650740.5</v>
      </c>
      <c r="L63" s="205"/>
      <c r="M63" s="205">
        <f>M59*(1-$G$8)</f>
        <v>319000.5</v>
      </c>
      <c r="N63" s="36">
        <f>N59*(1-$G$8)</f>
        <v>331740</v>
      </c>
      <c r="O63" s="49"/>
      <c r="P63" s="205">
        <f>P59*(1-$G$8)</f>
        <v>503766</v>
      </c>
      <c r="Q63" s="36">
        <f>Q59*(1-$G$8)</f>
        <v>184765.5</v>
      </c>
      <c r="R63" s="15">
        <f>IF(ISBLANK(A63),"",IF(P63&gt;0,Q63/P63,0))</f>
        <v>0.36676849966055669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296.39999999999998</v>
      </c>
      <c r="I64" s="9">
        <f>I59*(1+$G$9)</f>
        <v>2371.1999999999998</v>
      </c>
      <c r="J64" s="31"/>
      <c r="K64" s="36">
        <f>K59*(1+$G$9)</f>
        <v>821988</v>
      </c>
      <c r="L64" s="205"/>
      <c r="M64" s="205">
        <f>M59*(1+$G$9)</f>
        <v>402948</v>
      </c>
      <c r="N64" s="36">
        <f>N59*(1+$G$9)</f>
        <v>419040</v>
      </c>
      <c r="O64" s="49"/>
      <c r="P64" s="205">
        <f>P59*(1+$G$9)</f>
        <v>636336</v>
      </c>
      <c r="Q64" s="36">
        <f>Q59*(1+$G$9)</f>
        <v>233388</v>
      </c>
      <c r="R64" s="15">
        <f>IF(ISBLANK(A64),"",IF(P64&gt;0,Q64/P64,0))</f>
        <v>0.36676849966055669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AUTOMATION_TEST SIZING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247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AUTOMATION_TEST SIZING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43219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43314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43219</v>
      </c>
      <c r="F15" s="157">
        <v>43313</v>
      </c>
      <c r="G15" s="158">
        <v>1</v>
      </c>
      <c r="H15" s="159">
        <f t="shared" ref="H15:H31" si="0">IF(ISBLANK(A15),"",NETWORKDAYS(E15,F15)*G15)</f>
        <v>68</v>
      </c>
      <c r="I15" s="160">
        <f t="shared" ref="I15:I31" si="1">IF(ISBLANK(A15),"",H15*$B$10)</f>
        <v>544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179520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88128</v>
      </c>
      <c r="N15" s="79">
        <f t="shared" ref="N15:N31" si="4">IF(ISBLANK(A15),"",K15-M15)</f>
        <v>91392</v>
      </c>
      <c r="O15" s="173">
        <v>300</v>
      </c>
      <c r="P15" s="203">
        <f t="shared" ref="P15:P31" si="5">IF(ISBLANK(A15),"",H15*O15*$B$10)</f>
        <v>163200</v>
      </c>
      <c r="Q15" s="79">
        <f t="shared" ref="Q15:Q31" si="6">IF(ISBLANK(A15),"",P15-M15)</f>
        <v>75072</v>
      </c>
      <c r="R15" s="151">
        <f t="shared" ref="R15:R31" si="7">IF(ISBLANK(A15),"",Q15/P15)</f>
        <v>0.46</v>
      </c>
      <c r="S15" s="162">
        <f t="shared" ref="S15:S31" si="8">IF(ISBLANK(A15),"",1-P15/K15)</f>
        <v>9.0909090909090939E-2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43219</v>
      </c>
      <c r="F16" s="157">
        <v>43314</v>
      </c>
      <c r="G16" s="158">
        <v>1</v>
      </c>
      <c r="H16" s="159">
        <f t="shared" si="0"/>
        <v>69</v>
      </c>
      <c r="I16" s="160">
        <f t="shared" si="1"/>
        <v>552</v>
      </c>
      <c r="J16" s="172">
        <f>IF(ISBLANK(A16),"",VLOOKUP(A16,gsrates!$A$3:$AK$38,VLOOKUP($B$6,gsrates!$A$41:$C$58,2,FALSE),FALSE))</f>
        <v>305</v>
      </c>
      <c r="K16" s="79">
        <f t="shared" si="2"/>
        <v>168360</v>
      </c>
      <c r="L16" s="203">
        <f>IF(ISBLANK(A16),"",VLOOKUP(A16,gsrates!$A$3:$AK$38,VLOOKUP($B$6,gsrates!$A$41:$C$58,3,FALSE),FALSE))</f>
        <v>139</v>
      </c>
      <c r="M16" s="203">
        <f t="shared" si="3"/>
        <v>76728</v>
      </c>
      <c r="N16" s="79">
        <f t="shared" si="4"/>
        <v>91632</v>
      </c>
      <c r="O16" s="173">
        <v>200</v>
      </c>
      <c r="P16" s="203">
        <f t="shared" si="5"/>
        <v>110400</v>
      </c>
      <c r="Q16" s="79">
        <f t="shared" si="6"/>
        <v>33672</v>
      </c>
      <c r="R16" s="151">
        <f t="shared" si="7"/>
        <v>0.30499999999999999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137</v>
      </c>
      <c r="I32" s="9">
        <f>SUM(I15:I31)</f>
        <v>1096</v>
      </c>
      <c r="J32" s="31"/>
      <c r="K32" s="36">
        <f>SUM(K15:K31)</f>
        <v>347880</v>
      </c>
      <c r="L32" s="205"/>
      <c r="M32" s="205">
        <f>SUM(M15:M31)</f>
        <v>164856</v>
      </c>
      <c r="N32" s="36">
        <f>SUM(N15:N31)</f>
        <v>183024</v>
      </c>
      <c r="O32" s="33"/>
      <c r="P32" s="205">
        <f>SUM(P15:P31)</f>
        <v>273600</v>
      </c>
      <c r="Q32" s="36">
        <f>SUM(Q15:Q31)</f>
        <v>108744</v>
      </c>
      <c r="R32" s="15">
        <f>IF(H32=0,"",Q32/P32)</f>
        <v>0.39745614035087717</v>
      </c>
      <c r="S32" s="8">
        <f>IF(H32=0,"",1-P32/K32)</f>
        <v>0.21352190410486371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</v>
      </c>
      <c r="I48" s="17">
        <f>I32+I43+I45+I46+I47</f>
        <v>1096</v>
      </c>
      <c r="J48" s="33"/>
      <c r="K48" s="17">
        <f>K32+K43+K45+K46+K47</f>
        <v>347880</v>
      </c>
      <c r="L48" s="205"/>
      <c r="M48" s="17">
        <f>M32+M43+M45+M46+M47</f>
        <v>164856</v>
      </c>
      <c r="N48" s="17">
        <f>N32+N43+N45+N47+N58+N46</f>
        <v>183024</v>
      </c>
      <c r="P48" s="17">
        <f>P32+P43+P45+P46+P47</f>
        <v>273600</v>
      </c>
      <c r="Q48" s="17">
        <f>Q32+Q43+Q45+Q47+Q58+Q46</f>
        <v>108744</v>
      </c>
      <c r="R48" s="15">
        <f>IF(ISBLANK(A48),"",IF(P48&gt;0,Q48/P48,0))</f>
        <v>0.39745614035087717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</v>
      </c>
      <c r="I59" s="9">
        <f>I48+I56</f>
        <v>1096</v>
      </c>
      <c r="J59" s="31"/>
      <c r="K59" s="36">
        <f>K48</f>
        <v>347880</v>
      </c>
      <c r="L59" s="205"/>
      <c r="M59" s="205">
        <f>M48+M58</f>
        <v>164856</v>
      </c>
      <c r="N59" s="36">
        <f>N48</f>
        <v>183024</v>
      </c>
      <c r="O59" s="33"/>
      <c r="P59" s="205">
        <f>P48+P58</f>
        <v>273600</v>
      </c>
      <c r="Q59" s="36">
        <f>Q48</f>
        <v>108744</v>
      </c>
      <c r="R59" s="15">
        <f>IF(ISBLANK(A59),"",IF(P59&gt;0,Q59/P59,0))</f>
        <v>0.39745614035087717</v>
      </c>
      <c r="S59" s="8">
        <f>IF(ISBLANK(A59),"",IF(K59&gt;0,1-P59/K59,1))</f>
        <v>0.21352190410486371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273600</v>
      </c>
      <c r="Q61" s="43">
        <f>P61-M59</f>
        <v>108744</v>
      </c>
      <c r="R61" s="44">
        <f>IF(ISBLANK(A61),"",IF(P61&gt;0,Q61/P61,0))</f>
        <v>0.39745614035087717</v>
      </c>
      <c r="S61" s="45">
        <f>IF(ISBLANK(A61),"",IF(K59&gt;0,1-P61/K59,1))</f>
        <v>0.21352190410486371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130.15</v>
      </c>
      <c r="I63" s="9">
        <f>I59*(1-$G$9)</f>
        <v>1041.2</v>
      </c>
      <c r="J63" s="31"/>
      <c r="K63" s="36">
        <f>K59*(1-$G$9)</f>
        <v>330486</v>
      </c>
      <c r="L63" s="205"/>
      <c r="M63" s="205">
        <f>M59*(1-$G$9)</f>
        <v>156613.19999999998</v>
      </c>
      <c r="N63" s="36">
        <f>N59*(1-$G$9)</f>
        <v>173872.8</v>
      </c>
      <c r="O63" s="49"/>
      <c r="P63" s="205">
        <f>P59*(1-$G$9)</f>
        <v>259920</v>
      </c>
      <c r="Q63" s="36">
        <f>Q59*(1-$G$9)</f>
        <v>103306.79999999999</v>
      </c>
      <c r="R63" s="15">
        <f>IF(ISBLANK(A63),"",IF(P63&gt;0,Q63/P63,0))</f>
        <v>0.39745614035087717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164.4</v>
      </c>
      <c r="I64" s="9">
        <f>I59*(1+$G$10)</f>
        <v>1315.2</v>
      </c>
      <c r="J64" s="31"/>
      <c r="K64" s="36">
        <f>K59*(1+$G$10)</f>
        <v>417456</v>
      </c>
      <c r="L64" s="205"/>
      <c r="M64" s="205">
        <f>M59*(1+$G$10)</f>
        <v>197827.19999999998</v>
      </c>
      <c r="N64" s="36">
        <f>N59*(1+$G$10)</f>
        <v>219628.79999999999</v>
      </c>
      <c r="O64" s="49"/>
      <c r="P64" s="205">
        <f>P59*(1+$G$10)</f>
        <v>328320</v>
      </c>
      <c r="Q64" s="36">
        <f>Q59*(1+$G$10)</f>
        <v>130492.79999999999</v>
      </c>
      <c r="R64" s="15">
        <f>IF(ISBLANK(A64),"",IF(P64&gt;0,Q64/P64,0))</f>
        <v>0.39745614035087717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ECR-29JUN2018-3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2018-07-10T19:31:43+00:00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20180629T153143.281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036AAC-B5A0-4BE8-84C1-1B9C420D63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68A2AA-03CD-4641-8002-FFAE2B7CBDF5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sharepoint/v3"/>
    <ds:schemaRef ds:uri="http://schemas.openxmlformats.org/package/2006/metadata/core-properties"/>
    <ds:schemaRef ds:uri="http://schemas.microsoft.com/office/infopath/2007/PartnerControls"/>
    <ds:schemaRef ds:uri="25c0f05f-b61a-491f-a19d-37e3a42ecd69"/>
    <ds:schemaRef ds:uri="87fa94fe-5ad7-4dd5-a490-5e3f0ba4b54b"/>
  </ds:schemaRefs>
</ds:datastoreItem>
</file>

<file path=customXml/itemProps3.xml><?xml version="1.0" encoding="utf-8"?>
<ds:datastoreItem xmlns:ds="http://schemas.openxmlformats.org/officeDocument/2006/customXml" ds:itemID="{34173240-638C-40EE-B80D-BD7ADB7C3C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2018-07-17T21:24:34Z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
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ECR\"/>
    </mc:Choice>
  </mc:AlternateContent>
  <xr:revisionPtr revIDLastSave="0" documentId="13_ncr:1_{B5FBE57A-F879-43A9-8560-BE73B2282044}" xr6:coauthVersionLast="34" xr6:coauthVersionMax="34" xr10:uidLastSave="{00000000-0000-0000-0000-000000000000}"/>
  <bookViews>
    <workbookView xWindow="0" yWindow="0" windowWidth="24000" windowHeight="973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</workbook>
</file>

<file path=xl/calcChain.xml><?xml version="1.0" encoding="utf-8"?>
<calcChain xmlns="http://schemas.openxmlformats.org/spreadsheetml/2006/main">
  <c r="H15" i="34" l="1"/>
  <c r="I15" i="34" s="1"/>
  <c r="T15" i="34"/>
  <c r="V15" i="34" s="1"/>
  <c r="P15" i="34" l="1"/>
  <c r="B30" i="14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S20" i="38" l="1"/>
  <c r="S24" i="38"/>
  <c r="S28" i="38"/>
  <c r="R18" i="38"/>
  <c r="R22" i="38"/>
  <c r="R26" i="38"/>
  <c r="R30" i="38"/>
  <c r="Q20" i="38"/>
  <c r="Q24" i="38"/>
  <c r="Q28" i="38"/>
  <c r="P18" i="38"/>
  <c r="P22" i="38"/>
  <c r="P26" i="38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M20" i="38"/>
  <c r="M24" i="38"/>
  <c r="M28" i="38"/>
  <c r="J18" i="38"/>
  <c r="J22" i="38"/>
  <c r="J26" i="38"/>
  <c r="J30" i="38"/>
  <c r="I20" i="38"/>
  <c r="I24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21" i="38"/>
  <c r="H25" i="38"/>
  <c r="H29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I16" i="39" s="1"/>
  <c r="H17" i="39"/>
  <c r="H18" i="39"/>
  <c r="H18" i="38" s="1"/>
  <c r="H19" i="39"/>
  <c r="H19" i="38" s="1"/>
  <c r="H20" i="39"/>
  <c r="H20" i="38" s="1"/>
  <c r="H21" i="39"/>
  <c r="H22" i="39"/>
  <c r="H22" i="38" s="1"/>
  <c r="H23" i="39"/>
  <c r="H23" i="38" s="1"/>
  <c r="H24" i="39"/>
  <c r="H24" i="38" s="1"/>
  <c r="H25" i="39"/>
  <c r="H26" i="39"/>
  <c r="H26" i="38" s="1"/>
  <c r="H27" i="39"/>
  <c r="H27" i="38" s="1"/>
  <c r="H28" i="39"/>
  <c r="H28" i="38" s="1"/>
  <c r="H29" i="39"/>
  <c r="H30" i="39"/>
  <c r="H30" i="38" s="1"/>
  <c r="S17" i="39"/>
  <c r="S17" i="38" s="1"/>
  <c r="S18" i="39"/>
  <c r="S18" i="38" s="1"/>
  <c r="S19" i="39"/>
  <c r="S19" i="38" s="1"/>
  <c r="S20" i="39"/>
  <c r="S21" i="39"/>
  <c r="S21" i="38" s="1"/>
  <c r="S22" i="39"/>
  <c r="S22" i="38" s="1"/>
  <c r="S23" i="39"/>
  <c r="S23" i="38" s="1"/>
  <c r="S24" i="39"/>
  <c r="S25" i="39"/>
  <c r="S25" i="38" s="1"/>
  <c r="S26" i="39"/>
  <c r="S26" i="38" s="1"/>
  <c r="S27" i="39"/>
  <c r="S27" i="38" s="1"/>
  <c r="S28" i="39"/>
  <c r="S29" i="39"/>
  <c r="S29" i="38" s="1"/>
  <c r="S30" i="39"/>
  <c r="S30" i="38" s="1"/>
  <c r="R17" i="39"/>
  <c r="R17" i="38" s="1"/>
  <c r="R18" i="39"/>
  <c r="R19" i="39"/>
  <c r="R19" i="38" s="1"/>
  <c r="R20" i="39"/>
  <c r="R20" i="38" s="1"/>
  <c r="R21" i="39"/>
  <c r="R21" i="38" s="1"/>
  <c r="R22" i="39"/>
  <c r="R23" i="39"/>
  <c r="R23" i="38" s="1"/>
  <c r="R24" i="39"/>
  <c r="R24" i="38" s="1"/>
  <c r="R25" i="39"/>
  <c r="R25" i="38" s="1"/>
  <c r="R26" i="39"/>
  <c r="R27" i="39"/>
  <c r="R27" i="38" s="1"/>
  <c r="R28" i="39"/>
  <c r="R28" i="38" s="1"/>
  <c r="R29" i="39"/>
  <c r="R29" i="38" s="1"/>
  <c r="R30" i="39"/>
  <c r="Q17" i="39"/>
  <c r="Q17" i="38" s="1"/>
  <c r="Q18" i="39"/>
  <c r="Q18" i="38" s="1"/>
  <c r="Q19" i="39"/>
  <c r="Q19" i="38" s="1"/>
  <c r="Q20" i="39"/>
  <c r="Q21" i="39"/>
  <c r="Q21" i="38" s="1"/>
  <c r="Q22" i="39"/>
  <c r="Q22" i="38" s="1"/>
  <c r="Q23" i="39"/>
  <c r="Q23" i="38" s="1"/>
  <c r="Q24" i="39"/>
  <c r="Q25" i="39"/>
  <c r="Q25" i="38" s="1"/>
  <c r="Q26" i="39"/>
  <c r="Q26" i="38" s="1"/>
  <c r="Q27" i="39"/>
  <c r="Q27" i="38" s="1"/>
  <c r="Q28" i="39"/>
  <c r="Q29" i="39"/>
  <c r="Q29" i="38" s="1"/>
  <c r="Q30" i="39"/>
  <c r="Q30" i="38" s="1"/>
  <c r="P17" i="39"/>
  <c r="P17" i="38" s="1"/>
  <c r="P18" i="39"/>
  <c r="P19" i="39"/>
  <c r="P19" i="38" s="1"/>
  <c r="P20" i="39"/>
  <c r="P20" i="38" s="1"/>
  <c r="P21" i="39"/>
  <c r="P21" i="38" s="1"/>
  <c r="P22" i="39"/>
  <c r="P23" i="39"/>
  <c r="P23" i="38" s="1"/>
  <c r="P24" i="39"/>
  <c r="P24" i="38" s="1"/>
  <c r="P25" i="39"/>
  <c r="P25" i="38" s="1"/>
  <c r="P26" i="39"/>
  <c r="P27" i="39"/>
  <c r="P27" i="38" s="1"/>
  <c r="P28" i="39"/>
  <c r="P28" i="38" s="1"/>
  <c r="P29" i="39"/>
  <c r="P29" i="38" s="1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1" i="39"/>
  <c r="M21" i="38" s="1"/>
  <c r="M22" i="39"/>
  <c r="M22" i="38" s="1"/>
  <c r="M23" i="39"/>
  <c r="M23" i="38" s="1"/>
  <c r="M24" i="39"/>
  <c r="M25" i="39"/>
  <c r="M25" i="38" s="1"/>
  <c r="M26" i="39"/>
  <c r="M26" i="38" s="1"/>
  <c r="M27" i="39"/>
  <c r="M27" i="38" s="1"/>
  <c r="M28" i="39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9" i="39"/>
  <c r="J19" i="38" s="1"/>
  <c r="J20" i="39"/>
  <c r="J20" i="38" s="1"/>
  <c r="J21" i="39"/>
  <c r="J21" i="38" s="1"/>
  <c r="J22" i="39"/>
  <c r="J23" i="39"/>
  <c r="J23" i="38" s="1"/>
  <c r="J24" i="39"/>
  <c r="J24" i="38" s="1"/>
  <c r="J25" i="39"/>
  <c r="J25" i="38" s="1"/>
  <c r="J26" i="39"/>
  <c r="J27" i="39"/>
  <c r="J27" i="38" s="1"/>
  <c r="J28" i="39"/>
  <c r="J28" i="38" s="1"/>
  <c r="J29" i="39"/>
  <c r="J29" i="38" s="1"/>
  <c r="J30" i="39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H56" i="39" s="1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Q32" i="39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Q48" i="34"/>
  <c r="Q48" i="40" s="1"/>
  <c r="Q59" i="40" s="1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3" i="33"/>
  <c r="G62" i="33"/>
  <c r="G63" i="33"/>
  <c r="H63" i="33" s="1"/>
  <c r="A79" i="33"/>
  <c r="I63" i="40" l="1"/>
  <c r="P64" i="34"/>
  <c r="P61" i="34"/>
  <c r="B16" i="14" s="1"/>
  <c r="Q63" i="40"/>
  <c r="Q64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O61" i="33" l="1"/>
  <c r="O62" i="33"/>
  <c r="S61" i="34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M61" i="33"/>
  <c r="M63" i="33"/>
  <c r="P75" i="33" l="1"/>
  <c r="P79" i="33" s="1"/>
  <c r="Q64" i="33"/>
  <c r="J80" i="33"/>
  <c r="M64" i="33"/>
  <c r="M75" i="33" s="1"/>
  <c r="D6" i="14"/>
  <c r="A64" i="38" l="1"/>
  <c r="A63" i="38"/>
  <c r="P80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l="1"/>
  <c r="O74" i="33"/>
  <c r="O75" i="33" s="1"/>
  <c r="M58" i="40"/>
  <c r="M59" i="40" s="1"/>
  <c r="M59" i="34"/>
  <c r="B17" i="14" s="1"/>
  <c r="P32" i="38"/>
  <c r="H32" i="38"/>
  <c r="L79" i="33"/>
  <c r="L80" i="33"/>
  <c r="O80" i="33" l="1"/>
  <c r="Q80" i="33" s="1"/>
  <c r="O77" i="33"/>
  <c r="O79" i="33"/>
  <c r="Q79" i="33" s="1"/>
  <c r="Q75" i="33"/>
  <c r="I24" i="14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G5" i="33" l="1"/>
  <c r="P77" i="33"/>
  <c r="Q77" i="33" s="1"/>
  <c r="Q32" i="38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<sst xmlns="http://schemas.openxmlformats.org/spreadsheetml/2006/main" count="945" uniqueCount="273">
  <si>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</si>
  <si>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</si>
  <si>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</si>
  <si>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</si>
  <si>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</si>
  <si>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</si>
  <si>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</si>
  <si>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</si>
  <si>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</si>
  <si>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</si>
  <si>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</si>
  <si>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</si>
  <si>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</si>
  <si>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</si>
  <si>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</si>
  <si>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</si>
  <si>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</si>
  <si>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</si>
  <si>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</si>
  <si>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</si>
  <si>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</si>
  <si>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</si>
  <si>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</si>
  <si>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</si>
  <si>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</si>
  <si>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</si>
  <si>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</si>
  <si>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</si>
  <si>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</si>
  <si>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</si>
  <si>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</si>
  <si>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</si>
  <si>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</si>
  <si>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</si>
  <si>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</si>
  <si>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</si>
  <si>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</si>
  <si>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</si>
  <si>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</si>
  <si>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</si>
  <si>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</si>
  <si>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</si>
  <si>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</si>
  <si>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</si>
  <si>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</si>
  <si>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</si>
  <si>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</si>
  <si>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</si>
  <si>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</si>
  <si>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</si>
  <si>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</si>
  <si>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</si>
  <si>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</si>
  <si>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</si>
  <si>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</si>
  <si>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</si>
  <si>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</si>
  <si>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</si>
  <si>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</si>
  <si>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</si>
  <si>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</si>
  <si>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</si>
  <si>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</si>
  <si>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</si>
  <si>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</si>
  <si>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</si>
  <si>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</si>
  <si>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</si>
  <si>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</si>
  <si>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</si>
  <si>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</si>
  <si>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</si>
  <si>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</si>
  <si>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</si>
  <si>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</si>
  <si>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</si>
  <si>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</si>
  <si>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</si>
  <si>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</si>
  <si>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</si>
  <si>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</si>
  <si>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</si>
  <si>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</si>
  <si>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</si>
  <si>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</si>
  <si>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</si>
  <si>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</si>
  <si>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</si>
  <si>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</si>
  <si>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</si>
  <si>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</si>
  <si>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</si>
  <si>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</si>
  <si>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</si>
  <si>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</si>
  <si>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</si>
  <si>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</si>
  <si>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</si>
  <si>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</si>
  <si>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</si>
  <si>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</si>
  <si>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</si>
  <si>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</si>
  <si>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</si>
  <si>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</si>
  <si>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</si>
  <si>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</si>
  <si>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</si>
  <si>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</si>
  <si>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</si>
  <si>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</si>
  <si>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</si>
  <si>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</si>
  <si>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</si>
  <si>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</si>
  <si>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</si>
  <si>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</si>
  <si>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</si>
  <si>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</si>
  <si>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</si>
  <si>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</si>
  <si>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</si>
  <si>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</si>
  <si>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</si>
  <si>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</si>
  <si>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</si>
  <si>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</si>
  <si>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</si>
  <si>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</si>
  <si>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</si>
  <si>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</si>
  <si>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</si>
  <si>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</si>
  <si>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</si>
  <si>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</si>
  <si>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</si>
  <si>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</si>
  <si>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</si>
  <si>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</si>
  <si>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</si>
  <si>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</si>
  <si>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</si>
  <si>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</si>
  <si>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</si>
  <si>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</si>
  <si>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</si>
  <si>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</si>
  <si>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</si>
  <si>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</si>
  <si>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</si>
  <si>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</si>
  <si>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</si>
  <si>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</si>
  <si>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</si>
  <si>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</si>
  <si>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</si>
  <si>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</si>
  <si>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</si>
  <si>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</si>
  <si>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</si>
  <si>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</si>
  <si>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</si>
  <si>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</si>
  <si>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</si>
  <si>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</si>
  <si>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</si>
  <si>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</si>
  <si>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</si>
  <si>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</si>
  <si>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</si>
  <si>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</si>
  <si>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</si>
  <si>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</si>
  <si>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</si>
  <si>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</si>
  <si>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</si>
  <si>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</si>
  <si>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</si>
  <si>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</si>
  <si>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</si>
  <si>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</si>
  <si>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</si>
  <si>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</si>
  <si>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</si>
  <si>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</si>
  <si>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</si>
  <si>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</si>
  <si>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</si>
  <si>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</si>
  <si>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</si>
  <si>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</si>
  <si>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</si>
  <si>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</si>
  <si>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</si>
  <si>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</si>
  <si>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</si>
  <si>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</si>
  <si>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</si>
  <si>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</si>
  <si>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</si>
  <si>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</si>
  <si>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</si>
  <si>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</si>
  <si>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</si>
  <si>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</si>
  <si>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</si>
  <si>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</si>
  <si>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</si>
  <si>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</si>
  <si>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</si>
  <si>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</si>
  <si>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</si>
  <si>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</si>
  <si>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</si>
  <si>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</si>
  <si>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</si>
  <si>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</si>
  <si>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</si>
  <si>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</si>
  <si>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</si>
  <si>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</si>
  <si>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</si>
  <si>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</si>
  <si>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</si>
  <si>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</si>
  <si>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</si>
  <si>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</si>
  <si>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</si>
  <si>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</si>
  <si>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</si>
  <si>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</si>
  <si>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</si>
  <si>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</si>
  <si>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</si>
  <si>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</si>
  <si>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</si>
  <si>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</si>
  <si>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</si>
  <si>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</si>
  <si>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</si>
  <si>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</si>
  <si>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</si>
  <si>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</si>
  <si>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</si>
  <si>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</si>
  <si>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</si>
  <si>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</si>
  <si>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</si>
  <si>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</si>
  <si>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</si>
  <si>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</si>
  <si>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</si>
  <si>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</si>
  <si>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</si>
  <si>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</si>
  <si>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</si>
  <si>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</si>
  <si>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</si>
  <si>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</si>
  <si>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</si>
  <si>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</si>
  <si>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</si>
  <si>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</si>
  <si>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</si>
  <si>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Quote</t>
  </si>
  <si>
    <t>SCRUM</t>
  </si>
  <si>
    <t>Jeff</t>
  </si>
  <si>
    <t>Any 2</t>
  </si>
  <si>
    <t>Any</t>
  </si>
  <si>
    <t>Staff Augmentation</t>
  </si>
  <si>
    <t xml:space="preserve"> </t>
  </si>
  <si>
    <t>PEGA</t>
  </si>
  <si>
    <t>BSW_CHANGE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</si>
</sst>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272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43009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264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271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265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 t="s">
        <v>270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2830545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1242621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1587924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0.56099585062240664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8352</v>
      </c>
      <c r="C24" s="79">
        <f>BID!P32+BID!P43</f>
        <v>2516040</v>
      </c>
      <c r="D24" s="79">
        <f>BID!P47+BID!P46</f>
        <v>0</v>
      </c>
      <c r="E24" s="79">
        <f>BID!P45</f>
        <v>314505</v>
      </c>
      <c r="F24" s="79"/>
      <c r="G24" s="112">
        <f>BID!P61</f>
        <v>2830545</v>
      </c>
      <c r="H24" s="79">
        <f>BID!K59</f>
        <v>2924505</v>
      </c>
      <c r="I24" s="79">
        <f>BID!M59</f>
        <v>1242621</v>
      </c>
      <c r="J24" s="79">
        <f>G24-I24</f>
        <v>1587924</v>
      </c>
      <c r="K24" s="151">
        <f>IF(G24&gt;0,J24/G24,0)</f>
        <v>0.56099585062240664</v>
      </c>
      <c r="L24" s="195">
        <f>IF(B24&gt;0,G24/B24,0)</f>
        <v>338.90625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8352</v>
      </c>
      <c r="C27" s="80">
        <f>SUM(C24:C26)</f>
        <v>2516040</v>
      </c>
      <c r="D27" s="80">
        <f>SUM(D24:D26)</f>
        <v>0</v>
      </c>
      <c r="E27" s="80">
        <f>SUM(E24:E26)</f>
        <v>314505</v>
      </c>
      <c r="F27" s="80"/>
      <c r="G27" s="114">
        <f>SUM(G24:G26)</f>
        <v>2830545</v>
      </c>
      <c r="H27" s="80">
        <f>SUM(H24:H26)</f>
        <v>2924505</v>
      </c>
      <c r="I27" s="80">
        <f>SUM(I24:I26)</f>
        <v>1242621</v>
      </c>
      <c r="J27" s="81">
        <f>G27-I27</f>
        <v>1587924</v>
      </c>
      <c r="K27" s="154">
        <f>IF(G27&gt;0,J27/G27,0)</f>
        <v>0.56099585062240664</v>
      </c>
      <c r="L27" s="196">
        <f>IF(B27&gt;0,G27/B27,0)</f>
        <v>338.90625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BSW_CHANGE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330</v>
      </c>
      <c r="K15" s="308">
        <f>INVESTMENT!K15</f>
        <v>344520</v>
      </c>
      <c r="L15" s="309">
        <f>INVESTMENT!L15</f>
        <v>162</v>
      </c>
      <c r="M15" s="309">
        <f>INVESTMENT!M15</f>
        <v>169128</v>
      </c>
      <c r="N15" s="308">
        <f>INVESTMENT!N15</f>
        <v>175392</v>
      </c>
      <c r="O15" s="307">
        <f>INVESTMENT!O15</f>
        <v>250</v>
      </c>
      <c r="P15" s="309">
        <f>INVESTMENT!P15</f>
        <v>261000</v>
      </c>
      <c r="Q15" s="308">
        <f>INVESTMENT!Q15</f>
        <v>91872</v>
      </c>
      <c r="R15" s="310">
        <f>INVESTMENT!R15</f>
        <v>0.35199999999999998</v>
      </c>
      <c r="S15" s="311">
        <f>INVESTMENT!S15</f>
        <v>0.24242424242424243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305</v>
      </c>
      <c r="K16" s="317">
        <f>INVESTMENT!K16</f>
        <v>477630</v>
      </c>
      <c r="L16" s="273">
        <f>INVESTMENT!L16</f>
        <v>114</v>
      </c>
      <c r="M16" s="273">
        <f>INVESTMENT!M16</f>
        <v>178524</v>
      </c>
      <c r="N16" s="317">
        <f>INVESTMENT!N16</f>
        <v>299106</v>
      </c>
      <c r="O16" s="272">
        <f>INVESTMENT!O16</f>
        <v>200</v>
      </c>
      <c r="P16" s="273">
        <f>INVESTMENT!P16</f>
        <v>313200</v>
      </c>
      <c r="Q16" s="317">
        <f>INVESTMENT!Q16</f>
        <v>134676</v>
      </c>
      <c r="R16" s="318">
        <f>INVESTMENT!R16</f>
        <v>0.43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822150</v>
      </c>
      <c r="L32" s="332"/>
      <c r="M32" s="332">
        <f>SUM(M15:M31)</f>
        <v>347652</v>
      </c>
      <c r="N32" s="331">
        <f>SUM(N15:N31)</f>
        <v>474498</v>
      </c>
      <c r="P32" s="332">
        <f>SUM(P15:P31)</f>
        <v>574200</v>
      </c>
      <c r="Q32" s="331">
        <f>SUM(Q15:Q31)</f>
        <v>226548</v>
      </c>
      <c r="R32" s="333">
        <f>IF(H32=0,"",Q32/P32)</f>
        <v>0.39454545454545453</v>
      </c>
      <c r="S32" s="292">
        <f>IF(H32=0,"",1-P32/K32)</f>
        <v>0.30158730158730163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822150</v>
      </c>
      <c r="L48" s="332"/>
      <c r="M48" s="341">
        <f>M32+M43+M45+M46+M47</f>
        <v>347652</v>
      </c>
      <c r="N48" s="341">
        <f>N32+N43+N45+N47+N58+N46</f>
        <v>474498</v>
      </c>
      <c r="P48" s="341">
        <f>P32+P43+P45+P46+P47</f>
        <v>574200</v>
      </c>
      <c r="Q48" s="341">
        <f>Q32+Q43+Q45+Q47+Q58+Q46</f>
        <v>226548</v>
      </c>
      <c r="R48" s="333">
        <f>IF(ISBLANK(A48),"",IF(P48&gt;0,Q48/P48,0))</f>
        <v>0.39454545454545453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822150</v>
      </c>
      <c r="L59" s="332"/>
      <c r="M59" s="332">
        <f>M48+M58</f>
        <v>347652</v>
      </c>
      <c r="N59" s="331">
        <f>N48</f>
        <v>474498</v>
      </c>
      <c r="P59" s="332">
        <f>P48+P58</f>
        <v>574200</v>
      </c>
      <c r="Q59" s="331">
        <f>INVESTMENT!Q59</f>
        <v>226548</v>
      </c>
      <c r="R59" s="333">
        <f>INVESTMENT!R59</f>
        <v>0.39454545454545453</v>
      </c>
      <c r="S59" s="292">
        <f>INVESTMENT!S59</f>
        <v>0.30158730158730163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226548</v>
      </c>
      <c r="R61" s="351">
        <f>INVESTMENT!R61</f>
        <v>0.39454545454545453</v>
      </c>
      <c r="S61" s="352">
        <f>INVESTMENT!S61</f>
        <v>0.30158730158730163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781042.5</v>
      </c>
      <c r="L63" s="332"/>
      <c r="M63" s="331">
        <f>INVESTMENT!M63</f>
        <v>330269.39999999997</v>
      </c>
      <c r="N63" s="331">
        <f>INVESTMENT!N63</f>
        <v>450773.1</v>
      </c>
      <c r="O63" s="291"/>
      <c r="P63" s="332">
        <f>INVESTMENT!P63</f>
        <v>545490</v>
      </c>
      <c r="Q63" s="331">
        <f>INVESTMENT!Q63</f>
        <v>215220.59999999998</v>
      </c>
      <c r="R63" s="333">
        <f>INVESTMENT!R63</f>
        <v>0.39454545454545448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986580</v>
      </c>
      <c r="L64" s="332"/>
      <c r="M64" s="331">
        <f>INVESTMENT!M64</f>
        <v>417182.39999999997</v>
      </c>
      <c r="N64" s="331">
        <f>INVESTMENT!N64</f>
        <v>569397.6</v>
      </c>
      <c r="O64" s="291"/>
      <c r="P64" s="332">
        <f>INVESTMENT!P64</f>
        <v>689040</v>
      </c>
      <c r="Q64" s="331">
        <f>INVESTMENT!Q64</f>
        <v>271857.59999999998</v>
      </c>
      <c r="R64" s="333">
        <f>INVESTMENT!R64</f>
        <v>0.39454545454545453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BSW_CHANGE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43009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43009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261</v>
      </c>
      <c r="I14" s="404">
        <f>IF(BID!I14="","",BID!I14)</f>
        <v>2088</v>
      </c>
      <c r="J14" s="404">
        <f>IF(BID!J14="","",BID!J14)</f>
        <v>330</v>
      </c>
      <c r="K14" s="405">
        <f>IF(BID!K14="","",BID!K14)</f>
        <v>689040</v>
      </c>
      <c r="L14" s="217">
        <f>IF(BID!L14="","",BID!L14)</f>
        <v>162</v>
      </c>
      <c r="M14" s="405">
        <f>IF(BID!M14="","",BID!M14)</f>
        <v>338256</v>
      </c>
      <c r="N14" s="405">
        <f>IF(BID!N14="","",BID!N14)</f>
        <v>350784</v>
      </c>
      <c r="O14" s="217">
        <f>IF(BID!O14="","",BID!O14)</f>
        <v>300</v>
      </c>
      <c r="P14" s="405">
        <f>IF(BID!P14="","",BID!P14)</f>
        <v>626400</v>
      </c>
      <c r="Q14" s="405">
        <f>IF(BID!Q14="","",BID!Q14)</f>
        <v>288144</v>
      </c>
      <c r="R14" s="406">
        <f>IF(BID!R14="","",BID!R14)</f>
        <v>0.46</v>
      </c>
      <c r="S14" s="407">
        <f>IF(BID!S14="","",BID!S14)</f>
        <v>9.0909090909090939E-2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305</v>
      </c>
      <c r="K15" s="405">
        <f>IF(BID!K15="","",BID!K15)</f>
        <v>1273680</v>
      </c>
      <c r="L15" s="217">
        <f>IF(BID!L15="","",BID!L15)</f>
        <v>114</v>
      </c>
      <c r="M15" s="405">
        <f>IF(BID!M15="","",BID!M15)</f>
        <v>476064</v>
      </c>
      <c r="N15" s="405">
        <f>IF(BID!N15="","",BID!N15)</f>
        <v>797616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776736</v>
      </c>
      <c r="R15" s="406">
        <f>IF(BID!R15="","",BID!R15)</f>
        <v>0.62</v>
      </c>
      <c r="S15" s="407">
        <f>IF(BID!S15="","",BID!S15)</f>
        <v>1.6393442622950838E-2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EL</v>
      </c>
      <c r="B16" s="190" t="str">
        <f>IF(BID!B16="","",BID!B16)</f>
        <v/>
      </c>
      <c r="C16" s="137"/>
      <c r="D16" s="401">
        <f>IF(BID!D16="","",BID!D16)</f>
        <v>1</v>
      </c>
      <c r="E16" s="402">
        <f>IF(BID!E16="","",BID!E16)</f>
        <v>43009</v>
      </c>
      <c r="F16" s="402">
        <f>IF(BID!F16="","",BID!F16)</f>
        <v>43374</v>
      </c>
      <c r="G16" s="403">
        <f>IF(BID!G16="","",BID!G16)</f>
        <v>1</v>
      </c>
      <c r="H16" s="404">
        <f>IF(BID!H16="","",BID!H16)</f>
        <v>261</v>
      </c>
      <c r="I16" s="404">
        <f>IF(BID!I16="","",BID!I16)</f>
        <v>2088</v>
      </c>
      <c r="J16" s="404">
        <f>IF(BID!J16="","",BID!J16)</f>
        <v>305</v>
      </c>
      <c r="K16" s="405">
        <f>IF(BID!K16="","",BID!K16)</f>
        <v>636840</v>
      </c>
      <c r="L16" s="217">
        <f>IF(BID!L16="","",BID!L16)</f>
        <v>139</v>
      </c>
      <c r="M16" s="405">
        <f>IF(BID!M16="","",BID!M16)</f>
        <v>290232</v>
      </c>
      <c r="N16" s="405">
        <f>IF(BID!N16="","",BID!N16)</f>
        <v>346608</v>
      </c>
      <c r="O16" s="217">
        <f>IF(BID!O16="","",BID!O16)</f>
        <v>305</v>
      </c>
      <c r="P16" s="405">
        <f>IF(BID!P16="","",BID!P16)</f>
        <v>636840</v>
      </c>
      <c r="Q16" s="405">
        <f>IF(BID!Q16="","",BID!Q16)</f>
        <v>346608</v>
      </c>
      <c r="R16" s="406">
        <f>IF(BID!R16="","",BID!R16)</f>
        <v>0.54426229508196722</v>
      </c>
      <c r="S16" s="407">
        <f>IF(BID!S16="","",BID!S16)</f>
        <v>0</v>
      </c>
      <c r="T16" s="408">
        <f>IF(ISBLANK(A16),"",VLOOKUP(A16,gsrates!$A$3:$AL$38,38,FALSE))</f>
        <v>0</v>
      </c>
      <c r="V16" s="381">
        <f t="shared" si="1"/>
        <v>0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1044</v>
      </c>
      <c r="I32" s="412">
        <f>SUM(I14:I31)</f>
        <v>8352</v>
      </c>
      <c r="J32" s="33"/>
      <c r="K32" s="413">
        <f>SUM(K14:K31)</f>
        <v>2599560</v>
      </c>
      <c r="L32" s="215"/>
      <c r="M32" s="215">
        <f>SUM(M14:M31)</f>
        <v>1104552</v>
      </c>
      <c r="N32" s="413">
        <f>SUM(N14:N31)</f>
        <v>1495008</v>
      </c>
      <c r="P32" s="215">
        <f>SUM(P14:P31)</f>
        <v>2516040</v>
      </c>
      <c r="Q32" s="413">
        <f>SUM(Q14:Q31)</f>
        <v>1411488</v>
      </c>
      <c r="R32" s="414">
        <f>IF(H32=0,"",Q32/P32)</f>
        <v>0.56099585062240664</v>
      </c>
      <c r="S32" s="51">
        <f>IF(H32=0,"",1-P32/K32)</f>
        <v>3.2128514056224855E-2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324945</v>
      </c>
      <c r="L45" s="215"/>
      <c r="M45" s="421">
        <f>BID!M45</f>
        <v>138069</v>
      </c>
      <c r="N45" s="421">
        <f>BID!N45</f>
        <v>186876</v>
      </c>
      <c r="P45" s="421">
        <f>BID!P45</f>
        <v>314505</v>
      </c>
      <c r="Q45" s="421">
        <f>BID!Q45</f>
        <v>176436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1044</v>
      </c>
      <c r="I48" s="422">
        <f>BID!I48</f>
        <v>8352</v>
      </c>
      <c r="J48" s="33"/>
      <c r="K48" s="421">
        <f>BID!K48</f>
        <v>2924505</v>
      </c>
      <c r="L48" s="215"/>
      <c r="M48" s="421">
        <f>BID!M48</f>
        <v>1242621</v>
      </c>
      <c r="N48" s="421">
        <f>BID!N48</f>
        <v>1681884</v>
      </c>
      <c r="P48" s="421">
        <f>BID!P48</f>
        <v>2830545</v>
      </c>
      <c r="Q48" s="421">
        <f>BID!Q48</f>
        <v>1587924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1044</v>
      </c>
      <c r="I59" s="412">
        <f>I48+I56</f>
        <v>8352</v>
      </c>
      <c r="J59" s="33"/>
      <c r="K59" s="413">
        <f>K48</f>
        <v>2924505</v>
      </c>
      <c r="L59" s="215"/>
      <c r="M59" s="215">
        <f>M48+M58</f>
        <v>1242621</v>
      </c>
      <c r="N59" s="413">
        <f>N48</f>
        <v>1681884</v>
      </c>
      <c r="P59" s="215">
        <f>P48+P58</f>
        <v>2830545</v>
      </c>
      <c r="Q59" s="413">
        <f>Q48</f>
        <v>1587924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2830545</v>
      </c>
      <c r="Q61" s="67">
        <f>P61-M59</f>
        <v>1587924</v>
      </c>
      <c r="R61" s="414">
        <f>BID!R59</f>
        <v>0.56099585062240664</v>
      </c>
      <c r="S61" s="414">
        <f>BID!S59</f>
        <v>3.2128514056224855E-2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991.8</v>
      </c>
      <c r="I63" s="412">
        <f>I59*(1-$G$8)</f>
        <v>7934.4</v>
      </c>
      <c r="J63" s="33"/>
      <c r="K63" s="413">
        <f>K59*(1-$G$8)</f>
        <v>2778279.75</v>
      </c>
      <c r="L63" s="215"/>
      <c r="M63" s="215">
        <f>M59*(1-$G$8)</f>
        <v>1180489.95</v>
      </c>
      <c r="N63" s="413">
        <f>N59*(1-$G$8)</f>
        <v>1597789.7999999998</v>
      </c>
      <c r="O63" s="386"/>
      <c r="P63" s="215">
        <f>P59*(1-$G$8)</f>
        <v>2689017.75</v>
      </c>
      <c r="Q63" s="413">
        <f>Q59*(1-$G$8)</f>
        <v>1508527.7999999998</v>
      </c>
      <c r="R63" s="414">
        <f>IF(ISBLANK(A63),"",IF(P63&gt;0,Q63/P63,0))</f>
        <v>0.56099585062240653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1252.8</v>
      </c>
      <c r="I64" s="412">
        <f>I59*(1+$G$9)</f>
        <v>10022.4</v>
      </c>
      <c r="J64" s="33"/>
      <c r="K64" s="413">
        <f>K59*(1+$G$9)</f>
        <v>3509406</v>
      </c>
      <c r="L64" s="215"/>
      <c r="M64" s="215">
        <f>M59*(1+$G$9)</f>
        <v>1491145.2</v>
      </c>
      <c r="N64" s="413">
        <f>N59*(1+$G$9)</f>
        <v>2018260.7999999998</v>
      </c>
      <c r="O64" s="386"/>
      <c r="P64" s="215">
        <f>P59*(1+$G$9)</f>
        <v>3396654</v>
      </c>
      <c r="Q64" s="413">
        <f>Q59*(1+$G$9)</f>
        <v>1905508.7999999998</v>
      </c>
      <c r="R64" s="414">
        <f>IF(ISBLANK(A64),"",IF(P64&gt;0,Q64/P64,0))</f>
        <v>0.56099585062240653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O22" sqref="O22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BSW_CHANGE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43009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Quote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266</v>
      </c>
      <c r="C14" s="86"/>
      <c r="D14" s="372">
        <v>1</v>
      </c>
      <c r="E14" s="157">
        <v>43009</v>
      </c>
      <c r="F14" s="157">
        <v>43374</v>
      </c>
      <c r="G14" s="158">
        <v>1</v>
      </c>
      <c r="H14" s="159">
        <f>IF(D14&gt;0,IF(ISBLANK(A14),"",(NETWORKDAYS(E14,F14)*G14)*D14),"")</f>
        <v>261</v>
      </c>
      <c r="I14" s="160">
        <f t="shared" ref="I14:I31" si="0">IF(ISBLANK(A14),"",H14*$B$9)</f>
        <v>2088</v>
      </c>
      <c r="J14" s="172">
        <f>IF(ISBLANK(A14),"",VLOOKUP(A14,gsrates!$A$3:$AK$38,VLOOKUP($B$5,gsrates!$A$41:$C$58,2,FALSE),FALSE))</f>
        <v>330</v>
      </c>
      <c r="K14" s="79">
        <f t="shared" ref="K14:K31" si="1">IF(ISBLANK(A14),"",I14*J14)</f>
        <v>689040</v>
      </c>
      <c r="L14" s="203">
        <f>IF(ISBLANK(A14),"",VLOOKUP(A14,gsrates!$A$3:$AK$38,VLOOKUP($B$5,gsrates!$A$41:$C$58,3,FALSE),FALSE))</f>
        <v>162</v>
      </c>
      <c r="M14" s="203">
        <f t="shared" ref="M14:M31" si="2">IF(ISBLANK(A14),"",L14*H14*8)</f>
        <v>338256</v>
      </c>
      <c r="N14" s="79">
        <f t="shared" ref="N14:N31" si="3">IF(ISBLANK(A14),"",K14-M14)</f>
        <v>350784</v>
      </c>
      <c r="O14" s="173">
        <v>300</v>
      </c>
      <c r="P14" s="203">
        <f t="shared" ref="P14:P31" si="4">IF(ISBLANK(A14),"",H14*O14*$B$9)</f>
        <v>626400</v>
      </c>
      <c r="Q14" s="79">
        <f t="shared" ref="Q14:Q31" si="5">IF(ISBLANK(A14),"",P14-M14)</f>
        <v>288144</v>
      </c>
      <c r="R14" s="151">
        <f t="shared" ref="R14:R31" si="6">IF(ISBLANK(A14),"",Q14/P14)</f>
        <v>0.46</v>
      </c>
      <c r="S14" s="162">
        <f t="shared" ref="S14:S31" si="7">IF(ISBLANK(A14),"",1-P14/K14)</f>
        <v>9.0909090909090939E-2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267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305</v>
      </c>
      <c r="K15" s="79">
        <f t="shared" si="1"/>
        <v>1273680</v>
      </c>
      <c r="L15" s="203">
        <f>IF(ISBLANK(A15),"",VLOOKUP(A15,gsrates!$A$3:$AK$38,VLOOKUP($B$5,gsrates!$A$41:$C$58,3,FALSE),FALSE))</f>
        <v>114</v>
      </c>
      <c r="M15" s="203">
        <f t="shared" si="2"/>
        <v>476064</v>
      </c>
      <c r="N15" s="79">
        <f t="shared" si="3"/>
        <v>797616</v>
      </c>
      <c r="O15" s="173">
        <v>300</v>
      </c>
      <c r="P15" s="203">
        <f t="shared" si="4"/>
        <v>1252800</v>
      </c>
      <c r="Q15" s="79">
        <f t="shared" si="5"/>
        <v>776736</v>
      </c>
      <c r="R15" s="151">
        <f t="shared" si="6"/>
        <v>0.62</v>
      </c>
      <c r="S15" s="162">
        <f t="shared" si="7"/>
        <v>1.6393442622950838E-2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208</v>
      </c>
      <c r="B16" s="156"/>
      <c r="C16" s="86"/>
      <c r="D16" s="372">
        <v>1</v>
      </c>
      <c r="E16" s="157">
        <v>43009</v>
      </c>
      <c r="F16" s="157">
        <v>43374</v>
      </c>
      <c r="G16" s="158">
        <v>1</v>
      </c>
      <c r="H16" s="159">
        <f t="shared" ref="H16:H30" si="10">IF(D16&gt;0,(IF(ISBLANK(A16),"",NETWORKDAYS(E16,F16)*G16)*D16),"")</f>
        <v>261</v>
      </c>
      <c r="I16" s="160">
        <f t="shared" si="0"/>
        <v>2088</v>
      </c>
      <c r="J16" s="172">
        <f>IF(ISBLANK(A16),"",VLOOKUP(A16,gsrates!$A$3:$AK$38,VLOOKUP($B$5,gsrates!$A$41:$C$58,2,FALSE),FALSE))</f>
        <v>305</v>
      </c>
      <c r="K16" s="79">
        <f t="shared" si="1"/>
        <v>636840</v>
      </c>
      <c r="L16" s="203">
        <f>IF(ISBLANK(A16),"",VLOOKUP(A16,gsrates!$A$3:$AK$38,VLOOKUP($B$5,gsrates!$A$41:$C$58,3,FALSE),FALSE))</f>
        <v>139</v>
      </c>
      <c r="M16" s="203">
        <f t="shared" si="2"/>
        <v>290232</v>
      </c>
      <c r="N16" s="79">
        <f t="shared" si="3"/>
        <v>346608</v>
      </c>
      <c r="O16" s="173">
        <v>305</v>
      </c>
      <c r="P16" s="203">
        <f t="shared" si="4"/>
        <v>636840</v>
      </c>
      <c r="Q16" s="79">
        <f t="shared" si="5"/>
        <v>346608</v>
      </c>
      <c r="R16" s="151">
        <f t="shared" si="6"/>
        <v>0.54426229508196722</v>
      </c>
      <c r="S16" s="162">
        <f t="shared" si="7"/>
        <v>0</v>
      </c>
      <c r="T16" s="360">
        <f>IF(ISBLANK(A16),"",VLOOKUP(A16,gsrates!$A$3:$AL$38,38,FALSE))</f>
        <v>0</v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1044</v>
      </c>
      <c r="I32" s="9">
        <f>SUM(I14:I31)</f>
        <v>8352</v>
      </c>
      <c r="J32" s="31"/>
      <c r="K32" s="36">
        <f>SUM(K14:K31)</f>
        <v>2599560</v>
      </c>
      <c r="L32" s="205"/>
      <c r="M32" s="205">
        <f>SUM(M14:M31)</f>
        <v>1104552</v>
      </c>
      <c r="N32" s="36">
        <f>SUM(N14:N31)</f>
        <v>1495008</v>
      </c>
      <c r="O32" s="33"/>
      <c r="P32" s="205">
        <f>SUM(P14:P31)</f>
        <v>2516040</v>
      </c>
      <c r="Q32" s="36">
        <f>SUM(Q14:Q31)</f>
        <v>1411488</v>
      </c>
      <c r="R32" s="15">
        <f>IF(H32=0,"",Q32/P32)</f>
        <v>0.56099585062240664</v>
      </c>
      <c r="S32" s="8">
        <f>IF(H32=0,"",1-P32/K32)</f>
        <v>3.2128514056224855E-2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324945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138069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186876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314505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176436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1044</v>
      </c>
      <c r="I48" s="448">
        <f>IF(ISBLANK($B$6),0,H48*$B$9)</f>
        <v>8352</v>
      </c>
      <c r="J48" s="33"/>
      <c r="K48" s="17">
        <f>K32+K43+K45+K46+K47</f>
        <v>2924505</v>
      </c>
      <c r="L48" s="205"/>
      <c r="M48" s="17">
        <f>M32+M43+M45+M46+M47</f>
        <v>1242621</v>
      </c>
      <c r="N48" s="17">
        <f>N32+N43+N45+N47+N58+N46</f>
        <v>1681884</v>
      </c>
      <c r="P48" s="17">
        <f>P32+P43+P45+P46+P47</f>
        <v>2830545</v>
      </c>
      <c r="Q48" s="17">
        <f>Q32+Q43+Q45+Q47+Q58+Q46</f>
        <v>1587924</v>
      </c>
      <c r="R48" s="15">
        <f>IF(ISBLANK(A48),"",IF(P48&gt;0,Q48/P48,0))</f>
        <v>0.56099585062240664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1044</v>
      </c>
      <c r="I59" s="9">
        <f>I48+I56</f>
        <v>8352</v>
      </c>
      <c r="J59" s="31"/>
      <c r="K59" s="36">
        <f>K48</f>
        <v>2924505</v>
      </c>
      <c r="L59" s="205"/>
      <c r="M59" s="205">
        <f>M48+M58</f>
        <v>1242621</v>
      </c>
      <c r="N59" s="36">
        <f>N48</f>
        <v>1681884</v>
      </c>
      <c r="O59" s="33"/>
      <c r="P59" s="205">
        <f>P48+P58</f>
        <v>2830545</v>
      </c>
      <c r="Q59" s="36">
        <f>Q48</f>
        <v>1587924</v>
      </c>
      <c r="R59" s="15">
        <f>IF(ISBLANK(A59),"",IF(P59&gt;0,Q59/P59,0))</f>
        <v>0.56099585062240664</v>
      </c>
      <c r="S59" s="8">
        <f>IF(ISBLANK(A59),"",IF(K59&gt;0,1-P59/K59,1))</f>
        <v>3.2128514056224855E-2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2830545</v>
      </c>
      <c r="Q61" s="43">
        <f>P61-M59</f>
        <v>1587924</v>
      </c>
      <c r="R61" s="44">
        <f>IF(ISBLANK(A61),"",IF(P61&gt;0,Q61/P61,0))</f>
        <v>0.56099585062240664</v>
      </c>
      <c r="S61" s="45">
        <f>IF(ISBLANK(A61),"",IF(K59&gt;0,1-P61/K59,1))</f>
        <v>3.2128514056224855E-2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991.8</v>
      </c>
      <c r="I63" s="9">
        <f>I59*(1-$G$8)</f>
        <v>7934.4</v>
      </c>
      <c r="J63" s="31"/>
      <c r="K63" s="36">
        <f>K59*(1-$G$8)</f>
        <v>2778279.75</v>
      </c>
      <c r="L63" s="205"/>
      <c r="M63" s="205">
        <f>M59*(1-$G$8)</f>
        <v>1180489.95</v>
      </c>
      <c r="N63" s="36">
        <f>N59*(1-$G$8)</f>
        <v>1597789.7999999998</v>
      </c>
      <c r="O63" s="49"/>
      <c r="P63" s="205">
        <f>P59*(1-$G$8)</f>
        <v>2689017.75</v>
      </c>
      <c r="Q63" s="36">
        <f>Q59*(1-$G$8)</f>
        <v>1508527.7999999998</v>
      </c>
      <c r="R63" s="15">
        <f>IF(ISBLANK(A63),"",IF(P63&gt;0,Q63/P63,0))</f>
        <v>0.56099585062240653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1252.8</v>
      </c>
      <c r="I64" s="9">
        <f>I59*(1+$G$9)</f>
        <v>10022.4</v>
      </c>
      <c r="J64" s="31"/>
      <c r="K64" s="36">
        <f>K59*(1+$G$9)</f>
        <v>3509406</v>
      </c>
      <c r="L64" s="205"/>
      <c r="M64" s="205">
        <f>M59*(1+$G$9)</f>
        <v>1491145.2</v>
      </c>
      <c r="N64" s="36">
        <f>N59*(1+$G$9)</f>
        <v>2018260.7999999998</v>
      </c>
      <c r="O64" s="49"/>
      <c r="P64" s="205">
        <f>P59*(1+$G$9)</f>
        <v>3396654</v>
      </c>
      <c r="Q64" s="36">
        <f>Q59*(1+$G$9)</f>
        <v>1905508.7999999998</v>
      </c>
      <c r="R64" s="15">
        <f>IF(ISBLANK(A64),"",IF(P64&gt;0,Q64/P64,0))</f>
        <v>0.56099585062240653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BSW_CHANGE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BSW_CHANGE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266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344520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169128</v>
      </c>
      <c r="N15" s="79">
        <f t="shared" ref="N15:N31" si="4">IF(ISBLANK(A15),"",K15-M15)</f>
        <v>175392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91872</v>
      </c>
      <c r="R15" s="151">
        <f t="shared" ref="R15:R31" si="7">IF(ISBLANK(A15),"",Q15/P15)</f>
        <v>0.35199999999999998</v>
      </c>
      <c r="S15" s="162">
        <f t="shared" ref="S15:S31" si="8">IF(ISBLANK(A15),"",1-P15/K15)</f>
        <v>0.24242424242424243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211</v>
      </c>
      <c r="B16" s="156" t="s">
        <v>268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305</v>
      </c>
      <c r="K16" s="79">
        <f t="shared" si="2"/>
        <v>477630</v>
      </c>
      <c r="L16" s="203">
        <f>IF(ISBLANK(A16),"",VLOOKUP(A16,gsrates!$A$3:$AK$38,VLOOKUP($B$6,gsrates!$A$41:$C$58,3,FALSE),FALSE))</f>
        <v>114</v>
      </c>
      <c r="M16" s="203">
        <f t="shared" si="3"/>
        <v>178524</v>
      </c>
      <c r="N16" s="79">
        <f t="shared" si="4"/>
        <v>299106</v>
      </c>
      <c r="O16" s="173">
        <v>200</v>
      </c>
      <c r="P16" s="203">
        <f t="shared" si="5"/>
        <v>313200</v>
      </c>
      <c r="Q16" s="79">
        <f t="shared" si="6"/>
        <v>134676</v>
      </c>
      <c r="R16" s="151">
        <f t="shared" si="7"/>
        <v>0.43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822150</v>
      </c>
      <c r="L32" s="205"/>
      <c r="M32" s="205">
        <f>SUM(M15:M31)</f>
        <v>347652</v>
      </c>
      <c r="N32" s="36">
        <f>SUM(N15:N31)</f>
        <v>474498</v>
      </c>
      <c r="O32" s="33"/>
      <c r="P32" s="205">
        <f>SUM(P15:P31)</f>
        <v>574200</v>
      </c>
      <c r="Q32" s="36">
        <f>SUM(Q15:Q31)</f>
        <v>226548</v>
      </c>
      <c r="R32" s="15">
        <f>IF(H32=0,"",Q32/P32)</f>
        <v>0.39454545454545453</v>
      </c>
      <c r="S32" s="8">
        <f>IF(H32=0,"",1-P32/K32)</f>
        <v>0.30158730158730163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822150</v>
      </c>
      <c r="L48" s="205"/>
      <c r="M48" s="17">
        <f>M32+M43+M45+M46+M47</f>
        <v>347652</v>
      </c>
      <c r="N48" s="17">
        <f>N32+N43+N45+N47+N58+N46</f>
        <v>474498</v>
      </c>
      <c r="P48" s="17">
        <f>P32+P43+P45+P46+P47</f>
        <v>574200</v>
      </c>
      <c r="Q48" s="17">
        <f>Q32+Q43+Q45+Q47+Q58+Q46</f>
        <v>226548</v>
      </c>
      <c r="R48" s="15">
        <f>IF(ISBLANK(A48),"",IF(P48&gt;0,Q48/P48,0))</f>
        <v>0.39454545454545453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822150</v>
      </c>
      <c r="L59" s="205"/>
      <c r="M59" s="205">
        <f>M48+M58</f>
        <v>347652</v>
      </c>
      <c r="N59" s="36">
        <f>N48</f>
        <v>474498</v>
      </c>
      <c r="O59" s="33"/>
      <c r="P59" s="205">
        <f>P48+P58</f>
        <v>574200</v>
      </c>
      <c r="Q59" s="36">
        <f>Q48</f>
        <v>226548</v>
      </c>
      <c r="R59" s="15">
        <f>IF(ISBLANK(A59),"",IF(P59&gt;0,Q59/P59,0))</f>
        <v>0.39454545454545453</v>
      </c>
      <c r="S59" s="8">
        <f>IF(ISBLANK(A59),"",IF(K59&gt;0,1-P59/K59,1))</f>
        <v>0.30158730158730163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226548</v>
      </c>
      <c r="R61" s="44">
        <f>IF(ISBLANK(A61),"",IF(P61&gt;0,Q61/P61,0))</f>
        <v>0.39454545454545453</v>
      </c>
      <c r="S61" s="45">
        <f>IF(ISBLANK(A61),"",IF(K59&gt;0,1-P61/K59,1))</f>
        <v>0.30158730158730163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309.9375</v>
      </c>
      <c r="I63" s="9">
        <f>I59*(1-$G$9)</f>
        <v>2479.5</v>
      </c>
      <c r="J63" s="31"/>
      <c r="K63" s="36">
        <f>K59*(1-$G$9)</f>
        <v>781042.5</v>
      </c>
      <c r="L63" s="205"/>
      <c r="M63" s="205">
        <f>M59*(1-$G$9)</f>
        <v>330269.39999999997</v>
      </c>
      <c r="N63" s="36">
        <f>N59*(1-$G$9)</f>
        <v>450773.1</v>
      </c>
      <c r="O63" s="49"/>
      <c r="P63" s="205">
        <f>P59*(1-$G$9)</f>
        <v>545490</v>
      </c>
      <c r="Q63" s="36">
        <f>Q59*(1-$G$9)</f>
        <v>215220.59999999998</v>
      </c>
      <c r="R63" s="15">
        <f>IF(ISBLANK(A63),"",IF(P63&gt;0,Q63/P63,0))</f>
        <v>0.39454545454545448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391.5</v>
      </c>
      <c r="I64" s="9">
        <f>I59*(1+$G$10)</f>
        <v>3132</v>
      </c>
      <c r="J64" s="31"/>
      <c r="K64" s="36">
        <f>K59*(1+$G$10)</f>
        <v>986580</v>
      </c>
      <c r="L64" s="205"/>
      <c r="M64" s="205">
        <f>M59*(1+$G$10)</f>
        <v>417182.39999999997</v>
      </c>
      <c r="N64" s="36">
        <f>N59*(1+$G$10)</f>
        <v>569397.6</v>
      </c>
      <c r="O64" s="49"/>
      <c r="P64" s="205">
        <f>P59*(1+$G$10)</f>
        <v>689040</v>
      </c>
      <c r="Q64" s="36">
        <f>Q59*(1+$G$10)</f>
        <v>271857.59999999998</v>
      </c>
      <c r="R64" s="15">
        <f>IF(ISBLANK(A64),"",IF(P64&gt;0,Q64/P64,0))</f>
        <v>0.39454545454545453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schemas.microsoft.com/sharepoint/v3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87fa94fe-5ad7-4dd5-a490-5e3f0ba4b54b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2018-08-06T11:37:16Z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
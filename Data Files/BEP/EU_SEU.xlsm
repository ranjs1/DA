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BEP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B7" i="14" l="1"/>
  <c r="H15" i="34" l="1"/>
  <c r="I15" i="34" s="1"/>
  <c r="T15" i="34"/>
  <c r="V15" i="34" s="1"/>
  <c r="P15" i="34" l="1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17" i="38" l="1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I16" i="38" l="1"/>
  <c r="P16" i="39"/>
  <c r="H16" i="38"/>
  <c r="V23" i="34"/>
  <c r="V22" i="34"/>
  <c r="V21" i="34"/>
  <c r="V20" i="34"/>
  <c r="V19" i="34"/>
  <c r="V18" i="34"/>
  <c r="V17" i="34"/>
  <c r="V16" i="34"/>
  <c r="P16" i="38" l="1"/>
  <c r="Q46" i="34"/>
  <c r="P46" i="34"/>
  <c r="N46" i="34"/>
  <c r="M46" i="34"/>
  <c r="K46" i="34"/>
  <c r="H46" i="34"/>
  <c r="I46" i="34" s="1"/>
  <c r="S46" i="40" l="1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L16" i="39" l="1"/>
  <c r="J16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M16" i="39"/>
  <c r="L16" i="38"/>
  <c r="M15" i="39"/>
  <c r="Q15" i="39" s="1"/>
  <c r="Q15" i="38" s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M16" i="38" l="1"/>
  <c r="Q16" i="39"/>
  <c r="Q32" i="39" s="1"/>
  <c r="K16" i="38"/>
  <c r="S16" i="39"/>
  <c r="S16" i="38" s="1"/>
  <c r="N16" i="39"/>
  <c r="N16" i="38" s="1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P45" i="39"/>
  <c r="I45" i="39"/>
  <c r="S45" i="39"/>
  <c r="R45" i="39"/>
  <c r="R16" i="39" l="1"/>
  <c r="R16" i="38" s="1"/>
  <c r="Q16" i="38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B29" i="14" s="1"/>
  <c r="I48" i="40"/>
  <c r="I59" i="40" s="1"/>
  <c r="I64" i="40" s="1"/>
  <c r="H63" i="34"/>
  <c r="I64" i="34"/>
  <c r="B30" i="14" s="1"/>
  <c r="P59" i="34"/>
  <c r="P63" i="34" s="1"/>
  <c r="G29" i="1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2" i="33"/>
  <c r="O74" i="33"/>
  <c r="O63" i="33"/>
  <c r="G62" i="33"/>
  <c r="G63" i="33"/>
  <c r="H63" i="33" s="1"/>
  <c r="A79" i="33"/>
  <c r="Q48" i="34" l="1"/>
  <c r="Q48" i="40" s="1"/>
  <c r="Q59" i="40" s="1"/>
  <c r="Q64" i="40" s="1"/>
  <c r="I63" i="40"/>
  <c r="P64" i="34"/>
  <c r="G30" i="14" s="1"/>
  <c r="P61" i="34"/>
  <c r="B16" i="14" s="1"/>
  <c r="Q63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<sst xmlns="http://schemas.openxmlformats.org/spreadsheetml/2006/main" count="944" uniqueCount="273">
  <si>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</si>
  <si>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</si>
  <si>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</si>
  <si>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</si>
  <si>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</si>
  <si>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</si>
  <si>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</si>
  <si>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</si>
  <si>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</si>
  <si>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</si>
  <si>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</si>
  <si>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</si>
  <si>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</si>
  <si>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</si>
  <si>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</si>
  <si>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</si>
  <si>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</si>
  <si>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</si>
  <si>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</si>
  <si>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</si>
  <si>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</si>
  <si>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</si>
  <si>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</si>
  <si>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</si>
  <si>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</si>
  <si>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</si>
  <si>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</si>
  <si>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</si>
  <si>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</si>
  <si>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</si>
  <si>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</si>
  <si>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</si>
  <si>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</si>
  <si>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</si>
  <si>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</si>
  <si>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</si>
  <si>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</si>
  <si>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</si>
  <si>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</si>
  <si>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</si>
  <si>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</si>
  <si>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</si>
  <si>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</si>
  <si>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</si>
  <si>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</si>
  <si>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</si>
  <si>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</si>
  <si>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</si>
  <si>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</si>
  <si>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</si>
  <si>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</si>
  <si>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</si>
  <si>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</si>
  <si>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</si>
  <si>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</si>
  <si>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</si>
  <si>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</si>
  <si>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</si>
  <si>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</si>
  <si>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</si>
  <si>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</si>
  <si>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</si>
  <si>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</si>
  <si>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</si>
  <si>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</si>
  <si>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</si>
  <si>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</si>
  <si>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</si>
  <si>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</si>
  <si>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</si>
  <si>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</si>
  <si>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</si>
  <si>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</si>
  <si>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</si>
  <si>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</si>
  <si>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</si>
  <si>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</si>
  <si>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</si>
  <si>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</si>
  <si>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</si>
  <si>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</si>
  <si>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</si>
  <si>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</si>
  <si>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</si>
  <si>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</si>
  <si>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</si>
  <si>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</si>
  <si>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</si>
  <si>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</si>
  <si>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</si>
  <si>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</si>
  <si>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</si>
  <si>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</si>
  <si>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</si>
  <si>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</si>
  <si>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</si>
  <si>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</si>
  <si>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</si>
  <si>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</si>
  <si>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</si>
  <si>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</si>
  <si>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</si>
  <si>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</si>
  <si>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</si>
  <si>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</si>
  <si>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</si>
  <si>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</si>
  <si>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</si>
  <si>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</si>
  <si>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</si>
  <si>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</si>
  <si>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</si>
  <si>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</si>
  <si>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</si>
  <si>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</si>
  <si>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</si>
  <si>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</si>
  <si>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</si>
  <si>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</si>
  <si>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</si>
  <si>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</si>
  <si>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</si>
  <si>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</si>
  <si>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</si>
  <si>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</si>
  <si>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</si>
  <si>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</si>
  <si>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</si>
  <si>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</si>
  <si>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</si>
  <si>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</si>
  <si>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</si>
  <si>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</si>
  <si>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</si>
  <si>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</si>
  <si>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</si>
  <si>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</si>
  <si>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</si>
  <si>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</si>
  <si>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</si>
  <si>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</si>
  <si>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</si>
  <si>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</si>
  <si>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</si>
  <si>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</si>
  <si>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</si>
  <si>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</si>
  <si>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</si>
  <si>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</si>
  <si>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</si>
  <si>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</si>
  <si>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</si>
  <si>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</si>
  <si>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</si>
  <si>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</si>
  <si>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</si>
  <si>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</si>
  <si>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</si>
  <si>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</si>
  <si>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</si>
  <si>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</si>
  <si>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</si>
  <si>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</si>
  <si>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</si>
  <si>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</si>
  <si>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</si>
  <si>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</si>
  <si>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</si>
  <si>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</si>
  <si>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</si>
  <si>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</si>
  <si>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</si>
  <si>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</si>
  <si>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</si>
  <si>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</si>
  <si>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</si>
  <si>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</si>
  <si>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</si>
  <si>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</si>
  <si>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</si>
  <si>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</si>
  <si>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</si>
  <si>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</si>
  <si>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</si>
  <si>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</si>
  <si>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</si>
  <si>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</si>
  <si>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</si>
  <si>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</si>
  <si>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</si>
  <si>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</si>
  <si>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</si>
  <si>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</si>
  <si>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</si>
  <si>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</si>
  <si>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</si>
  <si>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</si>
  <si>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</si>
  <si>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</si>
  <si>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</si>
  <si>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</si>
  <si>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</si>
  <si>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</si>
  <si>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</si>
  <si>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</si>
  <si>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</si>
  <si>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</si>
  <si>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</si>
  <si>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</si>
  <si>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</si>
  <si>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</si>
  <si>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</si>
  <si>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</si>
  <si>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</si>
  <si>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</si>
  <si>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</si>
  <si>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</si>
  <si>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</si>
  <si>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</si>
  <si>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</si>
  <si>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</si>
  <si>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</si>
  <si>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</si>
  <si>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</si>
  <si>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</si>
  <si>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</si>
  <si>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</si>
  <si>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</si>
  <si>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</si>
  <si>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</si>
  <si>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</si>
  <si>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</si>
  <si>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</si>
  <si>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</si>
  <si>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</si>
  <si>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</si>
  <si>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</si>
  <si>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</si>
  <si>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</si>
  <si>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</si>
  <si>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</si>
  <si>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</si>
  <si>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</si>
  <si>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</si>
  <si>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</si>
  <si>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</si>
  <si>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</si>
  <si>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</si>
  <si>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</si>
  <si>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</si>
  <si>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</si>
  <si>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</si>
  <si>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</si>
  <si>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</si>
  <si>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</si>
  <si>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</si>
  <si>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</si>
  <si>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</si>
  <si>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</si>
  <si>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</si>
  <si>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</si>
  <si>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</si>
  <si>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</si>
  <si>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</si>
  <si>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SCRUM</t>
  </si>
  <si>
    <t>Jeff</t>
  </si>
  <si>
    <t>Any 2</t>
  </si>
  <si>
    <t>Any</t>
  </si>
  <si>
    <t xml:space="preserve"> </t>
  </si>
  <si>
    <t>CUSTOMER</t>
  </si>
  <si>
    <t>MARCH_27_TESTDEV1</t>
  </si>
  <si>
    <t>Estimate</t>
  </si>
  <si>
    <t>Full Implementation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</si>
</sst>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6" sqref="B6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170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42979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271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269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272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264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EUR</v>
      </c>
      <c r="C14" s="4" t="s">
        <v>268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2170800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842324.31738000014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1328475.6826199999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0.61197516243781092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EU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6432</v>
      </c>
      <c r="C24" s="79">
        <f>BID!P32+BID!P43</f>
        <v>1929600</v>
      </c>
      <c r="D24" s="79">
        <f>BID!P47+BID!P46</f>
        <v>0</v>
      </c>
      <c r="E24" s="79">
        <f>BID!P45</f>
        <v>241200</v>
      </c>
      <c r="F24" s="79"/>
      <c r="G24" s="112">
        <f>BID!P61</f>
        <v>2170800</v>
      </c>
      <c r="H24" s="79">
        <f>BID!K59</f>
        <v>1807488</v>
      </c>
      <c r="I24" s="79">
        <f>BID!M59</f>
        <v>842324.31738000014</v>
      </c>
      <c r="J24" s="79">
        <f>G24-I24</f>
        <v>1328475.6826199999</v>
      </c>
      <c r="K24" s="151">
        <f>IF(G24&gt;0,J24/G24,0)</f>
        <v>0.61197516243781092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6432</v>
      </c>
      <c r="C27" s="80">
        <f>SUM(C24:C26)</f>
        <v>1929600</v>
      </c>
      <c r="D27" s="80">
        <f>SUM(D24:D26)</f>
        <v>0</v>
      </c>
      <c r="E27" s="80">
        <f>SUM(E24:E26)</f>
        <v>241200</v>
      </c>
      <c r="F27" s="80"/>
      <c r="G27" s="114">
        <f>SUM(G24:G26)</f>
        <v>2170800</v>
      </c>
      <c r="H27" s="80">
        <f>SUM(H24:H26)</f>
        <v>1807488</v>
      </c>
      <c r="I27" s="80">
        <f>SUM(I24:I26)</f>
        <v>842324.31738000014</v>
      </c>
      <c r="J27" s="81">
        <f>G27-I27</f>
        <v>1328475.6826199999</v>
      </c>
      <c r="K27" s="154">
        <f>IF(G27&gt;0,J27/G27,0)</f>
        <v>0.61197516243781092</v>
      </c>
      <c r="L27" s="196">
        <f>IF(B27&gt;0,G27/B27,0)</f>
        <v>337.5</v>
      </c>
    </row>
    <row r="29" spans="1:23" x14ac:dyDescent="0.2">
      <c r="A29" s="2" t="str">
        <f>IF(B9="estimate","Estimate LOW","")</f>
        <v>Estimate LOW</v>
      </c>
      <c r="B29" s="128">
        <f>IF($B$9="estimate",BID!I63,"")</f>
        <v>6110.4</v>
      </c>
      <c r="G29" s="127">
        <f>IF(B9="estimate",SUM((BID!P63)),"")</f>
        <v>2062260</v>
      </c>
      <c r="J29" s="193"/>
    </row>
    <row r="30" spans="1:23" x14ac:dyDescent="0.2">
      <c r="A30" s="2" t="str">
        <f>IF(B9="estimate","Estimate HIGH","")</f>
        <v>Estimate HIGH</v>
      </c>
      <c r="B30" s="128">
        <f>IF($B$9="estimate",BID!I64,"")</f>
        <v>7718.4</v>
      </c>
      <c r="G30" s="127">
        <f>IF(B9="estimate",SUM((BID!P64)),"")</f>
        <v>2604960</v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MARCH_27_TESTDEV1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UK-EURO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Estimate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EUR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242</v>
      </c>
      <c r="K15" s="308">
        <f>INVESTMENT!K15</f>
        <v>252648</v>
      </c>
      <c r="L15" s="309">
        <f>INVESTMENT!L15</f>
        <v>173.48707999999999</v>
      </c>
      <c r="M15" s="309">
        <f>INVESTMENT!M15</f>
        <v>181120.51152</v>
      </c>
      <c r="N15" s="308">
        <f>INVESTMENT!N15</f>
        <v>71527.48848</v>
      </c>
      <c r="O15" s="307">
        <f>INVESTMENT!O15</f>
        <v>250</v>
      </c>
      <c r="P15" s="309">
        <f>INVESTMENT!P15</f>
        <v>261000</v>
      </c>
      <c r="Q15" s="308">
        <f>INVESTMENT!Q15</f>
        <v>79879.48848</v>
      </c>
      <c r="R15" s="310">
        <f>INVESTMENT!R15</f>
        <v>0.30605167999999999</v>
      </c>
      <c r="S15" s="311">
        <f>INVESTMENT!S15</f>
        <v>-3.3057851239669311E-2</v>
      </c>
      <c r="T15" s="284"/>
      <c r="U15" s="284" t="str">
        <f t="shared" ref="U15:U31" si="0">IF(ISBLANK(A15),"",CONCATENATE(C15,"-",$B$6))</f>
        <v>-UK-EURO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254</v>
      </c>
      <c r="K16" s="317">
        <f>INVESTMENT!K16</f>
        <v>397764</v>
      </c>
      <c r="L16" s="273">
        <f>INVESTMENT!L16</f>
        <v>85.571330000000003</v>
      </c>
      <c r="M16" s="273">
        <f>INVESTMENT!M16</f>
        <v>134004.70277999999</v>
      </c>
      <c r="N16" s="317">
        <f>INVESTMENT!N16</f>
        <v>263759.29722000001</v>
      </c>
      <c r="O16" s="272">
        <f>INVESTMENT!O16</f>
        <v>200</v>
      </c>
      <c r="P16" s="273">
        <f>INVESTMENT!P16</f>
        <v>313200</v>
      </c>
      <c r="Q16" s="317">
        <f>INVESTMENT!Q16</f>
        <v>179195.29722000001</v>
      </c>
      <c r="R16" s="318">
        <f>INVESTMENT!R16</f>
        <v>0.57214335000000005</v>
      </c>
      <c r="S16" s="314">
        <f>INVESTMENT!S16</f>
        <v>0.21259842519685035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-UK-EURO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-UK-EURO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-UK-EURO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-UK-EURO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-UK-EURO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-UK-EURO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-UK-EURO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-UK-EURO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-UK-EURO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650412</v>
      </c>
      <c r="L32" s="332"/>
      <c r="M32" s="332">
        <f>SUM(M15:M31)</f>
        <v>315125.21429999999</v>
      </c>
      <c r="N32" s="331">
        <f>SUM(N15:N31)</f>
        <v>335286.78570000001</v>
      </c>
      <c r="P32" s="332">
        <f>SUM(P15:P31)</f>
        <v>574200</v>
      </c>
      <c r="Q32" s="331">
        <f>SUM(Q15:Q31)</f>
        <v>259074.78570000001</v>
      </c>
      <c r="R32" s="333">
        <f>IF(H32=0,"",Q32/P32)</f>
        <v>0.45119259090909092</v>
      </c>
      <c r="S32" s="292">
        <f>IF(H32=0,"",1-P32/K32)</f>
        <v>0.1171749598715891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-UK-EURO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-UK-EURO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-UK-EURO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-UK-EURO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-UK-EURO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-UK-EURO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-UK-EURO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650412</v>
      </c>
      <c r="L48" s="332"/>
      <c r="M48" s="341">
        <f>M32+M43+M45+M46+M47</f>
        <v>315125.21429999999</v>
      </c>
      <c r="N48" s="341">
        <f>N32+N43+N45+N47+N58+N46</f>
        <v>335286.78570000001</v>
      </c>
      <c r="P48" s="341">
        <f>P32+P43+P45+P46+P47</f>
        <v>574200</v>
      </c>
      <c r="Q48" s="341">
        <f>Q32+Q43+Q45+Q47+Q58+Q46</f>
        <v>259074.78570000001</v>
      </c>
      <c r="R48" s="333">
        <f>IF(ISBLANK(A48),"",IF(P48&gt;0,Q48/P48,0))</f>
        <v>0.45119259090909092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650412</v>
      </c>
      <c r="L59" s="332"/>
      <c r="M59" s="332">
        <f>M48+M58</f>
        <v>315125.21429999999</v>
      </c>
      <c r="N59" s="331">
        <f>N48</f>
        <v>335286.78570000001</v>
      </c>
      <c r="P59" s="332">
        <f>P48+P58</f>
        <v>574200</v>
      </c>
      <c r="Q59" s="331">
        <f>INVESTMENT!Q59</f>
        <v>259074.78570000001</v>
      </c>
      <c r="R59" s="333">
        <f>INVESTMENT!R59</f>
        <v>0.45119259090909092</v>
      </c>
      <c r="S59" s="292">
        <f>INVESTMENT!S59</f>
        <v>0.1171749598715891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259074.78570000001</v>
      </c>
      <c r="R61" s="351">
        <f>INVESTMENT!R61</f>
        <v>0.45119259090909092</v>
      </c>
      <c r="S61" s="352">
        <f>INVESTMENT!S61</f>
        <v>0.1171749598715891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>Low Estimate</v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617891.4</v>
      </c>
      <c r="L63" s="332"/>
      <c r="M63" s="331">
        <f>INVESTMENT!M63</f>
        <v>299368.95358499995</v>
      </c>
      <c r="N63" s="331">
        <f>INVESTMENT!N63</f>
        <v>318522.44641500001</v>
      </c>
      <c r="O63" s="291"/>
      <c r="P63" s="332">
        <f>INVESTMENT!P63</f>
        <v>545490</v>
      </c>
      <c r="Q63" s="331">
        <f>INVESTMENT!Q63</f>
        <v>246121.04641499999</v>
      </c>
      <c r="R63" s="333">
        <f>INVESTMENT!R63</f>
        <v>0.45119259090909086</v>
      </c>
      <c r="S63" s="292"/>
    </row>
    <row r="64" spans="1:148" outlineLevel="1" x14ac:dyDescent="0.2">
      <c r="A64" s="264" t="str">
        <f>IF($B$9="Estimate","High Estimate","")</f>
        <v>High Estimate</v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780494.4</v>
      </c>
      <c r="L64" s="332"/>
      <c r="M64" s="331">
        <f>INVESTMENT!M64</f>
        <v>378150.25715999998</v>
      </c>
      <c r="N64" s="331">
        <f>INVESTMENT!N64</f>
        <v>402344.14283999999</v>
      </c>
      <c r="O64" s="291"/>
      <c r="P64" s="332">
        <f>INVESTMENT!P64</f>
        <v>689040</v>
      </c>
      <c r="Q64" s="331">
        <f>INVESTMENT!Q64</f>
        <v>310889.74284000002</v>
      </c>
      <c r="R64" s="333">
        <f>INVESTMENT!R64</f>
        <v>0.45119259090909092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MARCH_27_TESTDEV1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UK-EURO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42979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Estimate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EUR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42979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282</v>
      </c>
      <c r="I14" s="404">
        <f>IF(BID!I14="","",BID!I14)</f>
        <v>2256</v>
      </c>
      <c r="J14" s="404">
        <f>IF(BID!J14="","",BID!J14)</f>
        <v>242</v>
      </c>
      <c r="K14" s="405">
        <f>IF(BID!K14="","",BID!K14)</f>
        <v>545952</v>
      </c>
      <c r="L14" s="217">
        <f>IF(BID!L14="","",BID!L14)</f>
        <v>173.48707999999999</v>
      </c>
      <c r="M14" s="405">
        <f>IF(BID!M14="","",BID!M14)</f>
        <v>391386.85248</v>
      </c>
      <c r="N14" s="405">
        <f>IF(BID!N14="","",BID!N14)</f>
        <v>154565.14752</v>
      </c>
      <c r="O14" s="217">
        <f>IF(BID!O14="","",BID!O14)</f>
        <v>300</v>
      </c>
      <c r="P14" s="405">
        <f>IF(BID!P14="","",BID!P14)</f>
        <v>676800</v>
      </c>
      <c r="Q14" s="405">
        <f>IF(BID!Q14="","",BID!Q14)</f>
        <v>285413.14752</v>
      </c>
      <c r="R14" s="406">
        <f>IF(BID!R14="","",BID!R14)</f>
        <v>0.42170973333333334</v>
      </c>
      <c r="S14" s="407">
        <f>IF(BID!S14="","",BID!S14)</f>
        <v>-0.2396694214876034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-UK-EURO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254</v>
      </c>
      <c r="K15" s="405">
        <f>IF(BID!K15="","",BID!K15)</f>
        <v>1060704</v>
      </c>
      <c r="L15" s="217">
        <f>IF(BID!L15="","",BID!L15)</f>
        <v>85.571330000000003</v>
      </c>
      <c r="M15" s="405">
        <f>IF(BID!M15="","",BID!M15)</f>
        <v>357345.87408000004</v>
      </c>
      <c r="N15" s="405">
        <f>IF(BID!N15="","",BID!N15)</f>
        <v>703358.12592000002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895454.12592000002</v>
      </c>
      <c r="R15" s="406">
        <f>IF(BID!R15="","",BID!R15)</f>
        <v>0.71476223333333333</v>
      </c>
      <c r="S15" s="407">
        <f>IF(BID!S15="","",BID!S15)</f>
        <v>-0.18110236220472431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-UK-EURO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-UK-EURO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-UK-EURO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-UK-EURO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-UK-EURO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-UK-EURO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-UK-EURO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-UK-EURO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-UK-EURO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804</v>
      </c>
      <c r="I32" s="412">
        <f>SUM(I14:I31)</f>
        <v>6432</v>
      </c>
      <c r="J32" s="33"/>
      <c r="K32" s="413">
        <f>SUM(K14:K31)</f>
        <v>1606656</v>
      </c>
      <c r="L32" s="215"/>
      <c r="M32" s="215">
        <f>SUM(M14:M31)</f>
        <v>748732.7265600001</v>
      </c>
      <c r="N32" s="413">
        <f>SUM(N14:N31)</f>
        <v>857923.27344000002</v>
      </c>
      <c r="P32" s="215">
        <f>SUM(P14:P31)</f>
        <v>1929600</v>
      </c>
      <c r="Q32" s="413">
        <f>SUM(Q14:Q31)</f>
        <v>1180867.2734400001</v>
      </c>
      <c r="R32" s="414">
        <f>IF(H32=0,"",Q32/P32)</f>
        <v>0.61197516243781103</v>
      </c>
      <c r="S32" s="51">
        <f>IF(H32=0,"",1-P32/K32)</f>
        <v>-0.20100382409177819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-UK-EURO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-UK-EURO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-UK-EURO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-UK-EURO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-UK-EURO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-UK-EURO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-UK-EURO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200832</v>
      </c>
      <c r="L45" s="215"/>
      <c r="M45" s="421">
        <f>BID!M45</f>
        <v>93591.590820000012</v>
      </c>
      <c r="N45" s="421">
        <f>BID!N45</f>
        <v>107240.40918</v>
      </c>
      <c r="P45" s="421">
        <f>BID!P45</f>
        <v>241200</v>
      </c>
      <c r="Q45" s="421">
        <f>BID!Q45</f>
        <v>147608.40918000002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804</v>
      </c>
      <c r="I48" s="422">
        <f>BID!I48</f>
        <v>6432</v>
      </c>
      <c r="J48" s="33"/>
      <c r="K48" s="421">
        <f>BID!K48</f>
        <v>1807488</v>
      </c>
      <c r="L48" s="215"/>
      <c r="M48" s="421">
        <f>BID!M48</f>
        <v>842324.31738000014</v>
      </c>
      <c r="N48" s="421">
        <f>BID!N48</f>
        <v>965163.68261999998</v>
      </c>
      <c r="P48" s="421">
        <f>BID!P48</f>
        <v>2170800</v>
      </c>
      <c r="Q48" s="421">
        <f>BID!Q48</f>
        <v>1328475.6826200001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804</v>
      </c>
      <c r="I59" s="412">
        <f>I48+I56</f>
        <v>6432</v>
      </c>
      <c r="J59" s="33"/>
      <c r="K59" s="413">
        <f>K48</f>
        <v>1807488</v>
      </c>
      <c r="L59" s="215"/>
      <c r="M59" s="215">
        <f>M48+M58</f>
        <v>842324.31738000014</v>
      </c>
      <c r="N59" s="413">
        <f>N48</f>
        <v>965163.68261999998</v>
      </c>
      <c r="P59" s="215">
        <f>P48+P58</f>
        <v>2170800</v>
      </c>
      <c r="Q59" s="413">
        <f>Q48</f>
        <v>1328475.6826200001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2170800</v>
      </c>
      <c r="Q61" s="67">
        <f>P61-M59</f>
        <v>1328475.6826199999</v>
      </c>
      <c r="R61" s="414">
        <f>BID!R59</f>
        <v>0.61197516243781103</v>
      </c>
      <c r="S61" s="414">
        <f>BID!S59</f>
        <v>-0.20100382409177819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>Low Estimate</v>
      </c>
      <c r="H63" s="412">
        <f>H59*(1-$G$8)</f>
        <v>763.8</v>
      </c>
      <c r="I63" s="412">
        <f>I59*(1-$G$8)</f>
        <v>6110.4</v>
      </c>
      <c r="J63" s="33"/>
      <c r="K63" s="413">
        <f>K59*(1-$G$8)</f>
        <v>1717113.5999999999</v>
      </c>
      <c r="L63" s="215"/>
      <c r="M63" s="215">
        <f>M59*(1-$G$8)</f>
        <v>800208.10151100007</v>
      </c>
      <c r="N63" s="413">
        <f>N59*(1-$G$8)</f>
        <v>916905.4984889999</v>
      </c>
      <c r="O63" s="386"/>
      <c r="P63" s="215">
        <f>P59*(1-$G$8)</f>
        <v>2062260</v>
      </c>
      <c r="Q63" s="413">
        <f>Q59*(1-$G$8)</f>
        <v>1262051.898489</v>
      </c>
      <c r="R63" s="414">
        <f>IF(ISBLANK(A63),"",IF(P63&gt;0,Q63/P63,0))</f>
        <v>0.61197516243781092</v>
      </c>
      <c r="S63" s="51"/>
    </row>
    <row r="64" spans="1:148" outlineLevel="1" x14ac:dyDescent="0.2">
      <c r="A64" s="126" t="str">
        <f>IF($B$8="Estimate","High Estimate","")</f>
        <v>High Estimate</v>
      </c>
      <c r="H64" s="412">
        <f>H59*(1+$G$9)</f>
        <v>964.8</v>
      </c>
      <c r="I64" s="412">
        <f>I59*(1+$G$9)</f>
        <v>7718.4</v>
      </c>
      <c r="J64" s="33"/>
      <c r="K64" s="413">
        <f>K59*(1+$G$9)</f>
        <v>2168985.6000000001</v>
      </c>
      <c r="L64" s="215"/>
      <c r="M64" s="215">
        <f>M59*(1+$G$9)</f>
        <v>1010789.1808560002</v>
      </c>
      <c r="N64" s="413">
        <f>N59*(1+$G$9)</f>
        <v>1158196.4191439999</v>
      </c>
      <c r="O64" s="386"/>
      <c r="P64" s="215">
        <f>P59*(1+$G$9)</f>
        <v>2604960</v>
      </c>
      <c r="Q64" s="413">
        <f>Q59*(1+$G$9)</f>
        <v>1594170.8191440001</v>
      </c>
      <c r="R64" s="414">
        <f>IF(ISBLANK(A64),"",IF(P64&gt;0,Q64/P64,0))</f>
        <v>0.61197516243781092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6" sqref="G6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MARCH_27_TESTDEV1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UK-EURO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42979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Estimate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EUR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265</v>
      </c>
      <c r="C14" s="86"/>
      <c r="D14" s="372">
        <v>1</v>
      </c>
      <c r="E14" s="157">
        <v>42979</v>
      </c>
      <c r="F14" s="157">
        <v>43374</v>
      </c>
      <c r="G14" s="158">
        <v>1</v>
      </c>
      <c r="H14" s="159">
        <f>IF(D14&gt;0,IF(ISBLANK(A14),"",(NETWORKDAYS(E14,F14)*G14)*D14),"")</f>
        <v>282</v>
      </c>
      <c r="I14" s="160">
        <f t="shared" ref="I14:I31" si="0">IF(ISBLANK(A14),"",H14*$B$9)</f>
        <v>2256</v>
      </c>
      <c r="J14" s="172">
        <f>IF(ISBLANK(A14),"",VLOOKUP(A14,gsrates!$A$3:$AK$38,VLOOKUP($B$5,gsrates!$A$41:$C$58,2,FALSE),FALSE))</f>
        <v>242</v>
      </c>
      <c r="K14" s="79">
        <f t="shared" ref="K14:K31" si="1">IF(ISBLANK(A14),"",I14*J14)</f>
        <v>545952</v>
      </c>
      <c r="L14" s="203">
        <f>IF(ISBLANK(A14),"",VLOOKUP(A14,gsrates!$A$3:$AK$38,VLOOKUP($B$5,gsrates!$A$41:$C$58,3,FALSE),FALSE))</f>
        <v>173.48707999999999</v>
      </c>
      <c r="M14" s="203">
        <f t="shared" ref="M14:M31" si="2">IF(ISBLANK(A14),"",L14*H14*8)</f>
        <v>391386.85248</v>
      </c>
      <c r="N14" s="79">
        <f t="shared" ref="N14:N31" si="3">IF(ISBLANK(A14),"",K14-M14)</f>
        <v>154565.14752</v>
      </c>
      <c r="O14" s="173">
        <v>300</v>
      </c>
      <c r="P14" s="203">
        <f t="shared" ref="P14:P31" si="4">IF(ISBLANK(A14),"",H14*O14*$B$9)</f>
        <v>676800</v>
      </c>
      <c r="Q14" s="79">
        <f t="shared" ref="Q14:Q31" si="5">IF(ISBLANK(A14),"",P14-M14)</f>
        <v>285413.14752</v>
      </c>
      <c r="R14" s="151">
        <f t="shared" ref="R14:R31" si="6">IF(ISBLANK(A14),"",Q14/P14)</f>
        <v>0.42170973333333334</v>
      </c>
      <c r="S14" s="162">
        <f t="shared" ref="S14:S31" si="7">IF(ISBLANK(A14),"",1-P14/K14)</f>
        <v>-0.2396694214876034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-UK-EURO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266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254</v>
      </c>
      <c r="K15" s="79">
        <f t="shared" si="1"/>
        <v>1060704</v>
      </c>
      <c r="L15" s="203">
        <f>IF(ISBLANK(A15),"",VLOOKUP(A15,gsrates!$A$3:$AK$38,VLOOKUP($B$5,gsrates!$A$41:$C$58,3,FALSE),FALSE))</f>
        <v>85.571330000000003</v>
      </c>
      <c r="M15" s="203">
        <f t="shared" si="2"/>
        <v>357345.87408000004</v>
      </c>
      <c r="N15" s="79">
        <f t="shared" si="3"/>
        <v>703358.12592000002</v>
      </c>
      <c r="O15" s="173">
        <v>300</v>
      </c>
      <c r="P15" s="203">
        <f t="shared" si="4"/>
        <v>1252800</v>
      </c>
      <c r="Q15" s="79">
        <f t="shared" si="5"/>
        <v>895454.12592000002</v>
      </c>
      <c r="R15" s="151">
        <f t="shared" si="6"/>
        <v>0.71476223333333333</v>
      </c>
      <c r="S15" s="162">
        <f t="shared" si="7"/>
        <v>-0.18110236220472431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804</v>
      </c>
      <c r="I32" s="9">
        <f>SUM(I14:I31)</f>
        <v>6432</v>
      </c>
      <c r="J32" s="31"/>
      <c r="K32" s="36">
        <f>SUM(K14:K31)</f>
        <v>1606656</v>
      </c>
      <c r="L32" s="205"/>
      <c r="M32" s="205">
        <f>SUM(M14:M31)</f>
        <v>748732.7265600001</v>
      </c>
      <c r="N32" s="36">
        <f>SUM(N14:N31)</f>
        <v>857923.27344000002</v>
      </c>
      <c r="O32" s="33"/>
      <c r="P32" s="205">
        <f>SUM(P14:P31)</f>
        <v>1929600</v>
      </c>
      <c r="Q32" s="36">
        <f>SUM(Q14:Q31)</f>
        <v>1180867.2734400001</v>
      </c>
      <c r="R32" s="15">
        <f>IF(H32=0,"",Q32/P32)</f>
        <v>0.61197516243781103</v>
      </c>
      <c r="S32" s="8">
        <f>IF(H32=0,"",1-P32/K32)</f>
        <v>-0.20100382409177819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200832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93591.590820000012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107240.40918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241200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147608.40918000002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804</v>
      </c>
      <c r="I48" s="448">
        <f>IF(ISBLANK($B$6),0,H48*$B$9)</f>
        <v>6432</v>
      </c>
      <c r="J48" s="33"/>
      <c r="K48" s="17">
        <f>K32+K43+K45+K46+K47</f>
        <v>1807488</v>
      </c>
      <c r="L48" s="205"/>
      <c r="M48" s="17">
        <f>M32+M43+M45+M46+M47</f>
        <v>842324.31738000014</v>
      </c>
      <c r="N48" s="17">
        <f>N32+N43+N45+N47+N58+N46</f>
        <v>965163.68261999998</v>
      </c>
      <c r="P48" s="17">
        <f>P32+P43+P45+P46+P47</f>
        <v>2170800</v>
      </c>
      <c r="Q48" s="17">
        <f>Q32+Q43+Q45+Q47+Q58+Q46</f>
        <v>1328475.6826200001</v>
      </c>
      <c r="R48" s="15">
        <f>IF(ISBLANK(A48),"",IF(P48&gt;0,Q48/P48,0))</f>
        <v>0.61197516243781103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804</v>
      </c>
      <c r="I59" s="9">
        <f>I48+I56</f>
        <v>6432</v>
      </c>
      <c r="J59" s="31"/>
      <c r="K59" s="36">
        <f>K48</f>
        <v>1807488</v>
      </c>
      <c r="L59" s="205"/>
      <c r="M59" s="205">
        <f>M48+M58</f>
        <v>842324.31738000014</v>
      </c>
      <c r="N59" s="36">
        <f>N48</f>
        <v>965163.68261999998</v>
      </c>
      <c r="O59" s="33"/>
      <c r="P59" s="205">
        <f>P48+P58</f>
        <v>2170800</v>
      </c>
      <c r="Q59" s="36">
        <f>Q48</f>
        <v>1328475.6826200001</v>
      </c>
      <c r="R59" s="15">
        <f>IF(ISBLANK(A59),"",IF(P59&gt;0,Q59/P59,0))</f>
        <v>0.61197516243781103</v>
      </c>
      <c r="S59" s="8">
        <f>IF(ISBLANK(A59),"",IF(K59&gt;0,1-P59/K59,1))</f>
        <v>-0.20100382409177819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2170800</v>
      </c>
      <c r="Q61" s="43">
        <f>P61-M59</f>
        <v>1328475.6826199999</v>
      </c>
      <c r="R61" s="44">
        <f>IF(ISBLANK(A61),"",IF(P61&gt;0,Q61/P61,0))</f>
        <v>0.61197516243781092</v>
      </c>
      <c r="S61" s="45">
        <f>IF(ISBLANK(A61),"",IF(K59&gt;0,1-P61/K59,1))</f>
        <v>-0.20100382409177819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>Low Estimate</v>
      </c>
      <c r="H63" s="9">
        <f>H59*(1-$G$8)</f>
        <v>763.8</v>
      </c>
      <c r="I63" s="9">
        <f>I59*(1-$G$8)</f>
        <v>6110.4</v>
      </c>
      <c r="J63" s="31"/>
      <c r="K63" s="36">
        <f>K59*(1-$G$8)</f>
        <v>1717113.5999999999</v>
      </c>
      <c r="L63" s="205"/>
      <c r="M63" s="205">
        <f>M59*(1-$G$8)</f>
        <v>800208.10151100007</v>
      </c>
      <c r="N63" s="36">
        <f>N59*(1-$G$8)</f>
        <v>916905.4984889999</v>
      </c>
      <c r="O63" s="49"/>
      <c r="P63" s="205">
        <f>P59*(1-$G$8)</f>
        <v>2062260</v>
      </c>
      <c r="Q63" s="36">
        <f>Q59*(1-$G$8)</f>
        <v>1262051.898489</v>
      </c>
      <c r="R63" s="15">
        <f>IF(ISBLANK(A63),"",IF(P63&gt;0,Q63/P63,0))</f>
        <v>0.61197516243781092</v>
      </c>
      <c r="S63" s="8"/>
    </row>
    <row r="64" spans="1:148" outlineLevel="1" x14ac:dyDescent="0.2">
      <c r="A64" s="2" t="str">
        <f>IF($B$8="Estimate","High Estimate","")</f>
        <v>High Estimate</v>
      </c>
      <c r="H64" s="9">
        <f>H59*(1+$G$9)</f>
        <v>964.8</v>
      </c>
      <c r="I64" s="9">
        <f>I59*(1+$G$9)</f>
        <v>7718.4</v>
      </c>
      <c r="J64" s="31"/>
      <c r="K64" s="36">
        <f>K59*(1+$G$9)</f>
        <v>2168985.6000000001</v>
      </c>
      <c r="L64" s="205"/>
      <c r="M64" s="205">
        <f>M59*(1+$G$9)</f>
        <v>1010789.1808560002</v>
      </c>
      <c r="N64" s="36">
        <f>N59*(1+$G$9)</f>
        <v>1158196.4191439999</v>
      </c>
      <c r="O64" s="49"/>
      <c r="P64" s="205">
        <f>P59*(1+$G$9)</f>
        <v>2604960</v>
      </c>
      <c r="Q64" s="36">
        <f>Q59*(1+$G$9)</f>
        <v>1594170.8191440001</v>
      </c>
      <c r="R64" s="15">
        <f>IF(ISBLANK(A64),"",IF(P64&gt;0,Q64/P64,0))</f>
        <v>0.61197516243781092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MARCH_27_TESTDEV1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UK-EURO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Estimate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EUR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242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173.48707999999999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-UK-EURO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224</v>
      </c>
      <c r="J15" s="79">
        <f t="shared" si="2"/>
        <v>0</v>
      </c>
      <c r="K15" s="203">
        <f>IF(ISBLANK(A15),"",VLOOKUP(A15,gsrates!$A$3:$AK$38,VLOOKUP($B$5,gsrates!$A$41:$C$58,3,FALSE),FALSE))</f>
        <v>104.32669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-UK-EURO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273</v>
      </c>
      <c r="J16" s="79">
        <f t="shared" si="2"/>
        <v>0</v>
      </c>
      <c r="K16" s="203">
        <f>IF(ISBLANK(A16),"",VLOOKUP(A16,gsrates!$A$3:$AK$38,VLOOKUP($B$5,gsrates!$A$41:$C$58,3,FALSE),FALSE))</f>
        <v>99.63785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-UK-EURO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273</v>
      </c>
      <c r="J17" s="79">
        <f t="shared" si="2"/>
        <v>0</v>
      </c>
      <c r="K17" s="203">
        <f>IF(ISBLANK(A17),"",VLOOKUP(A17,gsrates!$A$3:$AK$38,VLOOKUP($B$5,gsrates!$A$41:$C$58,3,FALSE),FALSE))</f>
        <v>117.221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-UK-EURO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254</v>
      </c>
      <c r="J18" s="79">
        <f t="shared" si="2"/>
        <v>0</v>
      </c>
      <c r="K18" s="203">
        <f>IF(ISBLANK(A18),"",VLOOKUP(A18,gsrates!$A$3:$AK$38,VLOOKUP($B$5,gsrates!$A$41:$C$58,3,FALSE),FALSE))</f>
        <v>85.571330000000003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-UK-EURO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254</v>
      </c>
      <c r="J19" s="79">
        <f t="shared" si="2"/>
        <v>0</v>
      </c>
      <c r="K19" s="203">
        <f>IF(ISBLANK(A19),"",VLOOKUP(A19,gsrates!$A$3:$AK$38,VLOOKUP($B$5,gsrates!$A$41:$C$58,3,FALSE),FALSE))</f>
        <v>86.743539999999996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-UK-EURO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200</v>
      </c>
      <c r="J20" s="79">
        <f t="shared" si="2"/>
        <v>0</v>
      </c>
      <c r="K20" s="203">
        <f>IF(ISBLANK(A20),"",VLOOKUP(A20,gsrates!$A$3:$AK$38,VLOOKUP($B$5,gsrates!$A$41:$C$58,3,FALSE),FALSE))</f>
        <v>71.504809999999992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-UK-EURO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200</v>
      </c>
      <c r="J21" s="79">
        <f t="shared" si="2"/>
        <v>0</v>
      </c>
      <c r="K21" s="203">
        <f>IF(ISBLANK(A21),"",VLOOKUP(A21,gsrates!$A$3:$AK$38,VLOOKUP($B$5,gsrates!$A$41:$C$58,3,FALSE),FALSE))</f>
        <v>69.160389999999992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-UK-EURO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151</v>
      </c>
      <c r="J22" s="79">
        <f t="shared" si="2"/>
        <v>0</v>
      </c>
      <c r="K22" s="203">
        <f>IF(ISBLANK(A22),"",VLOOKUP(A22,gsrates!$A$3:$AK$38,VLOOKUP($B$5,gsrates!$A$41:$C$58,3,FALSE),FALSE))</f>
        <v>41.027349999999998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-UK-EURO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91</v>
      </c>
      <c r="J23" s="79">
        <f t="shared" si="2"/>
        <v>0</v>
      </c>
      <c r="K23" s="203">
        <f>IF(ISBLANK(A23),"",VLOOKUP(A23,gsrates!$A$3:$AK$38,VLOOKUP($B$5,gsrates!$A$41:$C$58,3,FALSE),FALSE))</f>
        <v>29.305250000000001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273</v>
      </c>
      <c r="J24" s="79">
        <f t="shared" si="2"/>
        <v>0</v>
      </c>
      <c r="K24" s="203">
        <f>IF(ISBLANK(A24),"",VLOOKUP(A24,gsrates!$A$3:$AK$38,VLOOKUP($B$5,gsrates!$A$41:$C$58,3,FALSE),FALSE))</f>
        <v>109.01553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-UK-EURO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224</v>
      </c>
      <c r="J25" s="79">
        <f t="shared" si="2"/>
        <v>0</v>
      </c>
      <c r="K25" s="203">
        <f>IF(ISBLANK(A25),"",VLOOKUP(A25,gsrates!$A$3:$AK$38,VLOOKUP($B$5,gsrates!$A$41:$C$58,3,FALSE),FALSE))</f>
        <v>73.849229999999991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-UK-EURO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200</v>
      </c>
      <c r="J26" s="79">
        <f t="shared" si="2"/>
        <v>0</v>
      </c>
      <c r="K26" s="203">
        <f>IF(ISBLANK(A26),"",VLOOKUP(A26,gsrates!$A$3:$AK$38,VLOOKUP($B$5,gsrates!$A$41:$C$58,3,FALSE),FALSE))</f>
        <v>72.677019999999999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-UK-EURO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151</v>
      </c>
      <c r="J27" s="79">
        <f t="shared" si="2"/>
        <v>0</v>
      </c>
      <c r="K27" s="203">
        <f>IF(ISBLANK(A27),"",VLOOKUP(A27,gsrates!$A$3:$AK$38,VLOOKUP($B$5,gsrates!$A$41:$C$58,3,FALSE),FALSE))</f>
        <v>41.027349999999998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-UK-EURO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224</v>
      </c>
      <c r="J28" s="79">
        <f t="shared" si="2"/>
        <v>0</v>
      </c>
      <c r="K28" s="203">
        <f>IF(ISBLANK(A28),"",VLOOKUP(A28,gsrates!$A$3:$AK$38,VLOOKUP($B$5,gsrates!$A$41:$C$58,3,FALSE),FALSE))</f>
        <v>73.849229999999991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273</v>
      </c>
      <c r="J29" s="79">
        <f t="shared" si="2"/>
        <v>0</v>
      </c>
      <c r="K29" s="203">
        <f>IF(ISBLANK(A29),"",VLOOKUP(A29,gsrates!$A$3:$AK$38,VLOOKUP($B$5,gsrates!$A$41:$C$58,3,FALSE),FALSE))</f>
        <v>109.01553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224</v>
      </c>
      <c r="J30" s="79">
        <f t="shared" si="2"/>
        <v>0</v>
      </c>
      <c r="K30" s="203">
        <f>IF(ISBLANK(A30),"",VLOOKUP(A30,gsrates!$A$3:$AK$38,VLOOKUP($B$5,gsrates!$A$41:$C$58,3,FALSE),FALSE))</f>
        <v>67.98818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-UK-EURO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224</v>
      </c>
      <c r="J31" s="79">
        <f t="shared" si="2"/>
        <v>0</v>
      </c>
      <c r="K31" s="203">
        <f>IF(ISBLANK(A31),"",VLOOKUP(A31,gsrates!$A$3:$AK$38,VLOOKUP($B$5,gsrates!$A$41:$C$58,3,FALSE),FALSE))</f>
        <v>67.98818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224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85.571330000000003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224</v>
      </c>
      <c r="J33" s="79">
        <f t="shared" si="12"/>
        <v>0</v>
      </c>
      <c r="K33" s="203">
        <f>IF(ISBLANK(A33),"",VLOOKUP(A33,gsrates!$A$3:$AK$38,VLOOKUP($B$5,gsrates!$A$41:$C$58,3,FALSE),FALSE))</f>
        <v>85.571330000000003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224</v>
      </c>
      <c r="J34" s="79">
        <f t="shared" si="12"/>
        <v>0</v>
      </c>
      <c r="K34" s="203">
        <f>IF(ISBLANK(A34),"",VLOOKUP(A34,gsrates!$A$3:$AK$38,VLOOKUP($B$5,gsrates!$A$41:$C$58,3,FALSE),FALSE))</f>
        <v>85.571330000000003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148</v>
      </c>
      <c r="J35" s="79">
        <f t="shared" si="12"/>
        <v>0</v>
      </c>
      <c r="K35" s="203">
        <f>IF(ISBLANK(A35),"",VLOOKUP(A35,gsrates!$A$3:$AK$38,VLOOKUP($B$5,gsrates!$A$41:$C$58,3,FALSE),FALSE))</f>
        <v>36.338509999999999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110</v>
      </c>
      <c r="J36" s="79">
        <f t="shared" si="12"/>
        <v>0</v>
      </c>
      <c r="K36" s="203">
        <f>IF(ISBLANK(A36),"",VLOOKUP(A36,gsrates!$A$3:$AK$38,VLOOKUP($B$5,gsrates!$A$41:$C$58,3,FALSE),FALSE))</f>
        <v>31.64967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79</v>
      </c>
      <c r="J37" s="79">
        <f t="shared" si="12"/>
        <v>0</v>
      </c>
      <c r="K37" s="203">
        <f>IF(ISBLANK(A37),"",VLOOKUP(A37,gsrates!$A$3:$AK$38,VLOOKUP($B$5,gsrates!$A$41:$C$58,3,FALSE),FALSE))</f>
        <v>22.271989999999999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112</v>
      </c>
      <c r="J38" s="79">
        <f t="shared" si="12"/>
        <v>0</v>
      </c>
      <c r="K38" s="203">
        <f>IF(ISBLANK(A38),"",VLOOKUP(A38,gsrates!$A$3:$AK$38,VLOOKUP($B$5,gsrates!$A$41:$C$58,3,FALSE),FALSE))</f>
        <v>36.338509999999999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75</v>
      </c>
      <c r="J39" s="79">
        <f t="shared" si="12"/>
        <v>0</v>
      </c>
      <c r="K39" s="203">
        <f>IF(ISBLANK(A39),"",VLOOKUP(A39,gsrates!$A$3:$AK$38,VLOOKUP($B$5,gsrates!$A$41:$C$58,3,FALSE),FALSE))</f>
        <v>31.64967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56</v>
      </c>
      <c r="J40" s="79">
        <f t="shared" si="12"/>
        <v>0</v>
      </c>
      <c r="K40" s="203">
        <f>IF(ISBLANK(A40),"",VLOOKUP(A40,gsrates!$A$3:$AK$38,VLOOKUP($B$5,gsrates!$A$41:$C$58,3,FALSE),FALSE))</f>
        <v>22.271989999999999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80</v>
      </c>
      <c r="J41" s="79">
        <f t="shared" si="12"/>
        <v>0</v>
      </c>
      <c r="K41" s="203">
        <f>IF(ISBLANK(A41),"",VLOOKUP(A41,gsrates!$A$3:$AK$38,VLOOKUP($B$5,gsrates!$A$41:$C$58,3,FALSE),FALSE))</f>
        <v>51.577239999999996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49</v>
      </c>
      <c r="J42" s="79">
        <f t="shared" si="12"/>
        <v>0</v>
      </c>
      <c r="K42" s="203">
        <f>IF(ISBLANK(A42),"",VLOOKUP(A42,gsrates!$A$3:$AK$38,VLOOKUP($B$5,gsrates!$A$41:$C$58,3,FALSE),FALSE))</f>
        <v>16.41094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67</v>
      </c>
      <c r="J43" s="79">
        <f t="shared" si="12"/>
        <v>0</v>
      </c>
      <c r="K43" s="203">
        <f>IF(ISBLANK(A43),"",VLOOKUP(A43,gsrates!$A$3:$AK$38,VLOOKUP($B$5,gsrates!$A$41:$C$58,3,FALSE),FALSE))</f>
        <v>33.99409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45</v>
      </c>
      <c r="J44" s="79">
        <f t="shared" si="12"/>
        <v>0</v>
      </c>
      <c r="K44" s="203">
        <f>IF(ISBLANK(A44),"",VLOOKUP(A44,gsrates!$A$3:$AK$38,VLOOKUP($B$5,gsrates!$A$41:$C$58,3,FALSE),FALSE))</f>
        <v>17.58315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36</v>
      </c>
      <c r="J45" s="79">
        <f t="shared" si="12"/>
        <v>0</v>
      </c>
      <c r="K45" s="203">
        <f>IF(ISBLANK(A45),"",VLOOKUP(A45,gsrates!$A$3:$AK$38,VLOOKUP($B$5,gsrates!$A$41:$C$58,3,FALSE),FALSE))</f>
        <v>12.894309999999999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31</v>
      </c>
      <c r="J46" s="79">
        <f>IF(ISBLANK(A46),"",H46*I46)</f>
        <v>0</v>
      </c>
      <c r="K46" s="203">
        <f>IF(ISBLANK(A46),"",VLOOKUP(A46,gsrates!$A$3:$AK$38,VLOOKUP($B$5,gsrates!$A$41:$C$58,3,FALSE),FALSE))</f>
        <v>8.20547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67</v>
      </c>
      <c r="J47" s="81">
        <f>IF(ISBLANK(A47),"",H47*I47)</f>
        <v>0</v>
      </c>
      <c r="K47" s="204">
        <f>IF(ISBLANK(A47),"",VLOOKUP(A47,gsrates!$A$3:$AK$38,VLOOKUP($B$5,gsrates!$A$41:$C$58,3,FALSE),FALSE))</f>
        <v>35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-UK-EURO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>Low Estimate</v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>High Estimate</v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245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MARCH_27_TESTDEV1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UK-EURO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Estimate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EUR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265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242</v>
      </c>
      <c r="K15" s="79">
        <f t="shared" ref="K15:K31" si="2">IF(ISBLANK(A15),"",I15*J15)</f>
        <v>252648</v>
      </c>
      <c r="L15" s="203">
        <f>IF(ISBLANK(A15),"",VLOOKUP(A15,gsrates!$A$3:$AK$38,VLOOKUP($B$6,gsrates!$A$41:$C$58,3,FALSE),FALSE))</f>
        <v>173.48707999999999</v>
      </c>
      <c r="M15" s="203">
        <f t="shared" ref="M15:M31" si="3">IF(ISBLANK(A15),"",L15*H15*8)</f>
        <v>181120.51152</v>
      </c>
      <c r="N15" s="79">
        <f t="shared" ref="N15:N31" si="4">IF(ISBLANK(A15),"",K15-M15)</f>
        <v>71527.48848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79879.48848</v>
      </c>
      <c r="R15" s="151">
        <f t="shared" ref="R15:R31" si="7">IF(ISBLANK(A15),"",Q15/P15)</f>
        <v>0.30605167999999999</v>
      </c>
      <c r="S15" s="162">
        <f t="shared" ref="S15:S31" si="8">IF(ISBLANK(A15),"",1-P15/K15)</f>
        <v>-3.3057851239669311E-2</v>
      </c>
      <c r="T15" s="41"/>
      <c r="U15" s="41" t="str">
        <f t="shared" ref="U15:U31" si="9">IF(ISBLANK(A15),"",CONCATENATE(C15,"-",$B$6))</f>
        <v>-UK-EURO</v>
      </c>
      <c r="Y15" s="41" t="s">
        <v>155</v>
      </c>
    </row>
    <row r="16" spans="1:148" outlineLevel="1" x14ac:dyDescent="0.2">
      <c r="A16" s="156" t="s">
        <v>211</v>
      </c>
      <c r="B16" s="156" t="s">
        <v>267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254</v>
      </c>
      <c r="K16" s="79">
        <f t="shared" si="2"/>
        <v>397764</v>
      </c>
      <c r="L16" s="203">
        <f>IF(ISBLANK(A16),"",VLOOKUP(A16,gsrates!$A$3:$AK$38,VLOOKUP($B$6,gsrates!$A$41:$C$58,3,FALSE),FALSE))</f>
        <v>85.571330000000003</v>
      </c>
      <c r="M16" s="203">
        <f t="shared" si="3"/>
        <v>134004.70277999999</v>
      </c>
      <c r="N16" s="79">
        <f t="shared" si="4"/>
        <v>263759.29722000001</v>
      </c>
      <c r="O16" s="173">
        <v>200</v>
      </c>
      <c r="P16" s="203">
        <f t="shared" si="5"/>
        <v>313200</v>
      </c>
      <c r="Q16" s="79">
        <f t="shared" si="6"/>
        <v>179195.29722000001</v>
      </c>
      <c r="R16" s="151">
        <f t="shared" si="7"/>
        <v>0.57214335000000005</v>
      </c>
      <c r="S16" s="162">
        <f t="shared" si="8"/>
        <v>0.21259842519685035</v>
      </c>
      <c r="T16" s="41"/>
      <c r="U16" s="41" t="str">
        <f t="shared" si="9"/>
        <v>-UK-EURO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650412</v>
      </c>
      <c r="L32" s="205"/>
      <c r="M32" s="205">
        <f>SUM(M15:M31)</f>
        <v>315125.21429999999</v>
      </c>
      <c r="N32" s="36">
        <f>SUM(N15:N31)</f>
        <v>335286.78570000001</v>
      </c>
      <c r="O32" s="33"/>
      <c r="P32" s="205">
        <f>SUM(P15:P31)</f>
        <v>574200</v>
      </c>
      <c r="Q32" s="36">
        <f>SUM(Q15:Q31)</f>
        <v>259074.78570000001</v>
      </c>
      <c r="R32" s="15">
        <f>IF(H32=0,"",Q32/P32)</f>
        <v>0.45119259090909092</v>
      </c>
      <c r="S32" s="8">
        <f>IF(H32=0,"",1-P32/K32)</f>
        <v>0.1171749598715891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650412</v>
      </c>
      <c r="L48" s="205"/>
      <c r="M48" s="17">
        <f>M32+M43+M45+M46+M47</f>
        <v>315125.21429999999</v>
      </c>
      <c r="N48" s="17">
        <f>N32+N43+N45+N47+N58+N46</f>
        <v>335286.78570000001</v>
      </c>
      <c r="P48" s="17">
        <f>P32+P43+P45+P46+P47</f>
        <v>574200</v>
      </c>
      <c r="Q48" s="17">
        <f>Q32+Q43+Q45+Q47+Q58+Q46</f>
        <v>259074.78570000001</v>
      </c>
      <c r="R48" s="15">
        <f>IF(ISBLANK(A48),"",IF(P48&gt;0,Q48/P48,0))</f>
        <v>0.45119259090909092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650412</v>
      </c>
      <c r="L59" s="205"/>
      <c r="M59" s="205">
        <f>M48+M58</f>
        <v>315125.21429999999</v>
      </c>
      <c r="N59" s="36">
        <f>N48</f>
        <v>335286.78570000001</v>
      </c>
      <c r="O59" s="33"/>
      <c r="P59" s="205">
        <f>P48+P58</f>
        <v>574200</v>
      </c>
      <c r="Q59" s="36">
        <f>Q48</f>
        <v>259074.78570000001</v>
      </c>
      <c r="R59" s="15">
        <f>IF(ISBLANK(A59),"",IF(P59&gt;0,Q59/P59,0))</f>
        <v>0.45119259090909092</v>
      </c>
      <c r="S59" s="8">
        <f>IF(ISBLANK(A59),"",IF(K59&gt;0,1-P59/K59,1))</f>
        <v>0.1171749598715891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259074.78570000001</v>
      </c>
      <c r="R61" s="44">
        <f>IF(ISBLANK(A61),"",IF(P61&gt;0,Q61/P61,0))</f>
        <v>0.45119259090909092</v>
      </c>
      <c r="S61" s="45">
        <f>IF(ISBLANK(A61),"",IF(K59&gt;0,1-P61/K59,1))</f>
        <v>0.1171749598715891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>Low Estimate</v>
      </c>
      <c r="H63" s="9">
        <f>H59*(1-$G$9)</f>
        <v>309.9375</v>
      </c>
      <c r="I63" s="9">
        <f>I59*(1-$G$9)</f>
        <v>2479.5</v>
      </c>
      <c r="J63" s="31"/>
      <c r="K63" s="36">
        <f>K59*(1-$G$9)</f>
        <v>617891.4</v>
      </c>
      <c r="L63" s="205"/>
      <c r="M63" s="205">
        <f>M59*(1-$G$9)</f>
        <v>299368.95358499995</v>
      </c>
      <c r="N63" s="36">
        <f>N59*(1-$G$9)</f>
        <v>318522.44641500001</v>
      </c>
      <c r="O63" s="49"/>
      <c r="P63" s="205">
        <f>P59*(1-$G$9)</f>
        <v>545490</v>
      </c>
      <c r="Q63" s="36">
        <f>Q59*(1-$G$9)</f>
        <v>246121.04641499999</v>
      </c>
      <c r="R63" s="15">
        <f>IF(ISBLANK(A63),"",IF(P63&gt;0,Q63/P63,0))</f>
        <v>0.45119259090909086</v>
      </c>
      <c r="S63" s="8"/>
    </row>
    <row r="64" spans="1:148" outlineLevel="1" x14ac:dyDescent="0.2">
      <c r="A64" s="2" t="str">
        <f>IF($B$9="Estimate","High Estimate","")</f>
        <v>High Estimate</v>
      </c>
      <c r="H64" s="9">
        <f>H59*(1+$G$10)</f>
        <v>391.5</v>
      </c>
      <c r="I64" s="9">
        <f>I59*(1+$G$10)</f>
        <v>3132</v>
      </c>
      <c r="J64" s="31"/>
      <c r="K64" s="36">
        <f>K59*(1+$G$10)</f>
        <v>780494.4</v>
      </c>
      <c r="L64" s="205"/>
      <c r="M64" s="205">
        <f>M59*(1+$G$10)</f>
        <v>378150.25715999998</v>
      </c>
      <c r="N64" s="36">
        <f>N59*(1+$G$10)</f>
        <v>402344.14283999999</v>
      </c>
      <c r="O64" s="49"/>
      <c r="P64" s="205">
        <f>P59*(1+$G$10)</f>
        <v>689040</v>
      </c>
      <c r="Q64" s="36">
        <f>Q59*(1+$G$10)</f>
        <v>310889.74284000002</v>
      </c>
      <c r="R64" s="15">
        <f>IF(ISBLANK(A64),"",IF(P64&gt;0,Q64/P64,0))</f>
        <v>0.45119259090909092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345F13-1DBE-46D4-B0D7-304B49E202DD}">
  <ds:schemaRefs>
    <ds:schemaRef ds:uri="http://purl.org/dc/terms/"/>
    <ds:schemaRef ds:uri="http://www.w3.org/XML/1998/namespace"/>
    <ds:schemaRef ds:uri="http://schemas.microsoft.com/sharepoint/v3"/>
    <ds:schemaRef ds:uri="http://purl.org/dc/elements/1.1/"/>
    <ds:schemaRef ds:uri="http://purl.org/dc/dcmitype/"/>
    <ds:schemaRef ds:uri="87fa94fe-5ad7-4dd5-a490-5e3f0ba4b54b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25c0f05f-b61a-491f-a19d-37e3a42ecd69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2018-03-30T18:55:39Z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
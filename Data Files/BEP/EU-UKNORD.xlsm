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BEP\"/>
    </mc:Choice>
  </mc:AlternateContent>
  <bookViews>
    <workbookView xWindow="0" yWindow="0" windowWidth="24000" windowHeight="9735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52511"/>
</workbook>
</file>

<file path=xl/calcChain.xml><?xml version="1.0" encoding="utf-8"?>
<calcChain xmlns="http://schemas.openxmlformats.org/spreadsheetml/2006/main">
  <c r="B7" i="14" l="1"/>
  <c r="H15" i="34" l="1"/>
  <c r="I15" i="34" s="1"/>
  <c r="T15" i="34"/>
  <c r="V15" i="34" s="1"/>
  <c r="P15" i="34" l="1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P17" i="38" l="1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H16" i="39"/>
  <c r="I16" i="39" s="1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I16" i="38" l="1"/>
  <c r="P16" i="39"/>
  <c r="H16" i="38"/>
  <c r="V23" i="34"/>
  <c r="V22" i="34"/>
  <c r="V21" i="34"/>
  <c r="V20" i="34"/>
  <c r="V19" i="34"/>
  <c r="V18" i="34"/>
  <c r="V17" i="34"/>
  <c r="V16" i="34"/>
  <c r="P16" i="38" l="1"/>
  <c r="Q46" i="34"/>
  <c r="P46" i="34"/>
  <c r="N46" i="34"/>
  <c r="M46" i="34"/>
  <c r="K46" i="34"/>
  <c r="H46" i="34"/>
  <c r="I46" i="34" s="1"/>
  <c r="S46" i="40" l="1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T24" i="40" s="1"/>
  <c r="V24" i="40" s="1"/>
  <c r="A25" i="40"/>
  <c r="T25" i="40" s="1"/>
  <c r="V25" i="40" s="1"/>
  <c r="A26" i="40"/>
  <c r="T26" i="40" s="1"/>
  <c r="V26" i="40" s="1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3" i="40"/>
  <c r="V23" i="40" s="1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40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8" i="34"/>
  <c r="N18" i="40" s="1"/>
  <c r="Q18" i="34"/>
  <c r="O23" i="33"/>
  <c r="R16" i="34" l="1"/>
  <c r="R16" i="40" s="1"/>
  <c r="Q16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M42" i="38"/>
  <c r="L42" i="38"/>
  <c r="J42" i="38"/>
  <c r="F42" i="38"/>
  <c r="E42" i="38"/>
  <c r="B42" i="38"/>
  <c r="A42" i="38"/>
  <c r="O41" i="38"/>
  <c r="M41" i="38"/>
  <c r="L41" i="38"/>
  <c r="J41" i="38"/>
  <c r="F41" i="38"/>
  <c r="E41" i="38"/>
  <c r="B41" i="38"/>
  <c r="A41" i="38"/>
  <c r="O40" i="38"/>
  <c r="M40" i="38"/>
  <c r="L40" i="38"/>
  <c r="J40" i="38"/>
  <c r="F40" i="38"/>
  <c r="E40" i="38"/>
  <c r="B40" i="38"/>
  <c r="A40" i="38"/>
  <c r="O39" i="38"/>
  <c r="M39" i="38"/>
  <c r="L39" i="38"/>
  <c r="J39" i="38"/>
  <c r="F39" i="38"/>
  <c r="E39" i="38"/>
  <c r="B39" i="38"/>
  <c r="A39" i="38"/>
  <c r="O38" i="38"/>
  <c r="M38" i="38"/>
  <c r="L38" i="38"/>
  <c r="J38" i="38"/>
  <c r="F38" i="38"/>
  <c r="E38" i="38"/>
  <c r="B38" i="38"/>
  <c r="A38" i="38"/>
  <c r="O37" i="38"/>
  <c r="M37" i="38"/>
  <c r="L37" i="38"/>
  <c r="J37" i="38"/>
  <c r="F37" i="38"/>
  <c r="E37" i="38"/>
  <c r="B37" i="38"/>
  <c r="A37" i="38"/>
  <c r="O36" i="38"/>
  <c r="M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H56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K38" i="39"/>
  <c r="K38" i="38" s="1"/>
  <c r="I38" i="39"/>
  <c r="I43" i="39" s="1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P43" i="39" s="1"/>
  <c r="R43" i="39" s="1"/>
  <c r="N36" i="39"/>
  <c r="N36" i="38" s="1"/>
  <c r="M36" i="39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L16" i="39" l="1"/>
  <c r="J16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J16" i="38" l="1"/>
  <c r="K16" i="39"/>
  <c r="M16" i="39"/>
  <c r="L16" i="38"/>
  <c r="M15" i="39"/>
  <c r="Q15" i="39" s="1"/>
  <c r="Q15" i="38" s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M16" i="38" l="1"/>
  <c r="Q16" i="39"/>
  <c r="K16" i="38"/>
  <c r="S16" i="39"/>
  <c r="S16" i="38" s="1"/>
  <c r="N16" i="39"/>
  <c r="N16" i="38" s="1"/>
  <c r="S15" i="39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R16" i="39" l="1"/>
  <c r="R16" i="38" s="1"/>
  <c r="Q16" i="38"/>
  <c r="S32" i="39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H56" i="38" s="1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P43" i="38" l="1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l="1"/>
  <c r="B11" i="38" s="1"/>
  <c r="B10" i="40"/>
  <c r="AK37" i="32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B2" i="34"/>
  <c r="B2" i="40" s="1"/>
  <c r="B1" i="34"/>
  <c r="B1" i="40" s="1"/>
  <c r="B10" i="34"/>
  <c r="L15" i="34" l="1"/>
  <c r="J15" i="34"/>
  <c r="N43" i="40"/>
  <c r="Q43" i="40"/>
  <c r="H56" i="34"/>
  <c r="M43" i="34"/>
  <c r="M38" i="40"/>
  <c r="I43" i="34"/>
  <c r="I39" i="40"/>
  <c r="I43" i="40" s="1"/>
  <c r="L14" i="34"/>
  <c r="L14" i="40" s="1"/>
  <c r="B5" i="40"/>
  <c r="M43" i="40"/>
  <c r="P43" i="34"/>
  <c r="R43" i="34" s="1"/>
  <c r="R45" i="40" s="1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K15" i="34" l="1"/>
  <c r="J15" i="40"/>
  <c r="M15" i="34"/>
  <c r="L15" i="40"/>
  <c r="H45" i="34"/>
  <c r="I45" i="34" s="1"/>
  <c r="I45" i="40" s="1"/>
  <c r="H47" i="34"/>
  <c r="I47" i="34" s="1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H47" i="40"/>
  <c r="K14" i="34"/>
  <c r="I32" i="34"/>
  <c r="H45" i="40" s="1"/>
  <c r="R46" i="34"/>
  <c r="R48" i="40" s="1"/>
  <c r="S46" i="34"/>
  <c r="S48" i="40" s="1"/>
  <c r="P32" i="34"/>
  <c r="M32" i="34" l="1"/>
  <c r="M45" i="34" s="1"/>
  <c r="M45" i="40" s="1"/>
  <c r="Q15" i="34"/>
  <c r="M15" i="40"/>
  <c r="M32" i="40" s="1"/>
  <c r="N15" i="34"/>
  <c r="N15" i="40" s="1"/>
  <c r="S15" i="34"/>
  <c r="S15" i="40" s="1"/>
  <c r="K15" i="40"/>
  <c r="Q14" i="34"/>
  <c r="Q14" i="40" s="1"/>
  <c r="M47" i="34"/>
  <c r="M47" i="40" s="1"/>
  <c r="P47" i="34"/>
  <c r="P47" i="40" s="1"/>
  <c r="P45" i="34"/>
  <c r="P45" i="40" s="1"/>
  <c r="S14" i="34"/>
  <c r="S14" i="40" s="1"/>
  <c r="K14" i="40"/>
  <c r="C24" i="14"/>
  <c r="H48" i="34"/>
  <c r="I48" i="34" s="1"/>
  <c r="K32" i="34"/>
  <c r="N14" i="34"/>
  <c r="N14" i="40" s="1"/>
  <c r="N32" i="40" s="1"/>
  <c r="G26" i="33"/>
  <c r="H26" i="33" s="1"/>
  <c r="R26" i="33" s="1"/>
  <c r="K32" i="40" l="1"/>
  <c r="S32" i="40" s="1"/>
  <c r="R14" i="34"/>
  <c r="R14" i="40" s="1"/>
  <c r="Q32" i="34"/>
  <c r="R32" i="34" s="1"/>
  <c r="R15" i="34"/>
  <c r="R15" i="40" s="1"/>
  <c r="Q15" i="40"/>
  <c r="Q32" i="40" s="1"/>
  <c r="R32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47" i="34" l="1"/>
  <c r="Q47" i="40" s="1"/>
  <c r="Q45" i="34"/>
  <c r="Q45" i="40" s="1"/>
  <c r="N47" i="34"/>
  <c r="N47" i="40" s="1"/>
  <c r="N45" i="34"/>
  <c r="N45" i="40" s="1"/>
  <c r="B24" i="14"/>
  <c r="I63" i="34"/>
  <c r="B29" i="14" s="1"/>
  <c r="I48" i="40"/>
  <c r="I59" i="40" s="1"/>
  <c r="I64" i="40" s="1"/>
  <c r="H63" i="34"/>
  <c r="I64" i="34"/>
  <c r="B30" i="14" s="1"/>
  <c r="P59" i="34"/>
  <c r="P63" i="34" s="1"/>
  <c r="G29" i="1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O62" i="33"/>
  <c r="O74" i="33"/>
  <c r="O63" i="33"/>
  <c r="G62" i="33"/>
  <c r="G63" i="33"/>
  <c r="H63" i="33" s="1"/>
  <c r="A79" i="33"/>
  <c r="Q48" i="34" l="1"/>
  <c r="Q48" i="40" s="1"/>
  <c r="Q59" i="40" s="1"/>
  <c r="Q64" i="40" s="1"/>
  <c r="I63" i="40"/>
  <c r="P64" i="34"/>
  <c r="G30" i="14" s="1"/>
  <c r="P61" i="34"/>
  <c r="B16" i="14" s="1"/>
  <c r="Q63" i="40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Q59" i="34"/>
  <c r="Q63" i="34" s="1"/>
  <c r="R63" i="34" s="1"/>
  <c r="R48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O61" i="33" s="1"/>
  <c r="P21" i="33"/>
  <c r="Q21" i="33" s="1"/>
  <c r="H48" i="33"/>
  <c r="Q14" i="33"/>
  <c r="L48" i="33"/>
  <c r="L62" i="33" s="1"/>
  <c r="G61" i="33"/>
  <c r="G64" i="33" s="1"/>
  <c r="G75" i="33" s="1"/>
  <c r="Q62" i="33"/>
  <c r="Q63" i="33"/>
  <c r="H62" i="33"/>
  <c r="S61" i="34" l="1"/>
  <c r="H5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Q64" i="34"/>
  <c r="R64" i="34" s="1"/>
  <c r="R59" i="34"/>
  <c r="R61" i="40" s="1"/>
  <c r="M20" i="33"/>
  <c r="M14" i="33"/>
  <c r="P48" i="33"/>
  <c r="M16" i="33"/>
  <c r="J48" i="33"/>
  <c r="J62" i="33" s="1"/>
  <c r="M18" i="33"/>
  <c r="O64" i="33"/>
  <c r="H61" i="33"/>
  <c r="H64" i="33" s="1"/>
  <c r="H75" i="33" s="1"/>
  <c r="Q61" i="33"/>
  <c r="G79" i="33"/>
  <c r="G80" i="33"/>
  <c r="B10" i="33"/>
  <c r="Q48" i="33" l="1"/>
  <c r="P62" i="33"/>
  <c r="N64" i="34"/>
  <c r="N64" i="40"/>
  <c r="N63" i="40"/>
  <c r="L64" i="33"/>
  <c r="O75" i="33"/>
  <c r="O80" i="33" s="1"/>
  <c r="P61" i="33"/>
  <c r="P63" i="33"/>
  <c r="J61" i="33"/>
  <c r="J63" i="33"/>
  <c r="M48" i="33"/>
  <c r="M62" i="33" s="1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<sst xmlns="http://schemas.openxmlformats.org/spreadsheetml/2006/main" count="944" uniqueCount="273">
  <si>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</si>
  <si>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</si>
  <si>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</si>
  <si>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</si>
  <si>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</si>
  <si>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</si>
  <si>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</si>
  <si>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</si>
  <si>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</si>
  <si>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</si>
  <si>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</si>
  <si>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</si>
  <si>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</si>
  <si>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</si>
  <si>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</si>
  <si>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</si>
  <si>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</si>
  <si>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</si>
  <si>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</si>
  <si>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</si>
  <si>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</si>
  <si>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</si>
  <si>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</si>
  <si>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</si>
  <si>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</si>
  <si>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</si>
  <si>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</si>
  <si>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</si>
  <si>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</si>
  <si>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</si>
  <si>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</si>
  <si>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</si>
  <si>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</si>
  <si>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</si>
  <si>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</si>
  <si>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</si>
  <si>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</si>
  <si>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</si>
  <si>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</si>
  <si>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</si>
  <si>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</si>
  <si>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</si>
  <si>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</si>
  <si>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</si>
  <si>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</si>
  <si>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</si>
  <si>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</si>
  <si>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</si>
  <si>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</si>
  <si>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</si>
  <si>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</si>
  <si>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</si>
  <si>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</si>
  <si>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</si>
  <si>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</si>
  <si>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</si>
  <si>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</si>
  <si>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</si>
  <si>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</si>
  <si>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</si>
  <si>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</si>
  <si>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</si>
  <si>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</si>
  <si>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</si>
  <si>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</si>
  <si>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</si>
  <si>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</si>
  <si>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</si>
  <si>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</si>
  <si>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</si>
  <si>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</si>
  <si>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</si>
  <si>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</si>
  <si>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</si>
  <si>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</si>
  <si>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</si>
  <si>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</si>
  <si>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</si>
  <si>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</si>
  <si>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</si>
  <si>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</si>
  <si>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</si>
  <si>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</si>
  <si>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</si>
  <si>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</si>
  <si>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</si>
  <si>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</si>
  <si>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</si>
  <si>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</si>
  <si>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</si>
  <si>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</si>
  <si>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</si>
  <si>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</si>
  <si>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</si>
  <si>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</si>
  <si>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</si>
  <si>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</si>
  <si>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</si>
  <si>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</si>
  <si>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</si>
  <si>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</si>
  <si>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</si>
  <si>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</si>
  <si>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</si>
  <si>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</si>
  <si>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</si>
  <si>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</si>
  <si>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</si>
  <si>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</si>
  <si>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</si>
  <si>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</si>
  <si>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</si>
  <si>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</si>
  <si>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</si>
  <si>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</si>
  <si>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</si>
  <si>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</si>
  <si>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</si>
  <si>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</si>
  <si>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</si>
  <si>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</si>
  <si>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</si>
  <si>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</si>
  <si>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</si>
  <si>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</si>
  <si>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</si>
  <si>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</si>
  <si>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</si>
  <si>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</si>
  <si>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</si>
  <si>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</si>
  <si>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</si>
  <si>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</si>
  <si>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</si>
  <si>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</si>
  <si>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</si>
  <si>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</si>
  <si>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</si>
  <si>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</si>
  <si>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</si>
  <si>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</si>
  <si>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</si>
  <si>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</si>
  <si>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</si>
  <si>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</si>
  <si>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</si>
  <si>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</si>
  <si>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</si>
  <si>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</si>
  <si>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</si>
  <si>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</si>
  <si>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</si>
  <si>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</si>
  <si>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</si>
  <si>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</si>
  <si>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</si>
  <si>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</si>
  <si>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</si>
  <si>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</si>
  <si>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</si>
  <si>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</si>
  <si>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</si>
  <si>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</si>
  <si>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</si>
  <si>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</si>
  <si>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</si>
  <si>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</si>
  <si>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</si>
  <si>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</si>
  <si>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</si>
  <si>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</si>
  <si>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</si>
  <si>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</si>
  <si>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</si>
  <si>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</si>
  <si>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</si>
  <si>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</si>
  <si>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</si>
  <si>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</si>
  <si>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</si>
  <si>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</si>
  <si>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</si>
  <si>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</si>
  <si>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</si>
  <si>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</si>
  <si>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</si>
  <si>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</si>
  <si>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</si>
  <si>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</si>
  <si>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</si>
  <si>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</si>
  <si>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</si>
  <si>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</si>
  <si>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</si>
  <si>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</si>
  <si>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</si>
  <si>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</si>
  <si>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</si>
  <si>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</si>
  <si>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</si>
  <si>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</si>
  <si>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</si>
  <si>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</si>
  <si>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</si>
  <si>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</si>
  <si>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</si>
  <si>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</si>
  <si>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</si>
  <si>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</si>
  <si>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</si>
  <si>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</si>
  <si>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</si>
  <si>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</si>
  <si>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</si>
  <si>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</si>
  <si>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</si>
  <si>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</si>
  <si>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</si>
  <si>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</si>
  <si>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</si>
  <si>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</si>
  <si>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</si>
  <si>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</si>
  <si>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</si>
  <si>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</si>
  <si>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</si>
  <si>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</si>
  <si>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</si>
  <si>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</si>
  <si>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</si>
  <si>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</si>
  <si>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</si>
  <si>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</si>
  <si>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</si>
  <si>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</si>
  <si>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</si>
  <si>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</si>
  <si>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</si>
  <si>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</si>
  <si>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</si>
  <si>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</si>
  <si>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</si>
  <si>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</si>
  <si>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</si>
  <si>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</si>
  <si>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</si>
  <si>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</si>
  <si>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</si>
  <si>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</si>
  <si>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</si>
  <si>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</si>
  <si>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</si>
  <si>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</si>
  <si>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</si>
  <si>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</si>
  <si>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</si>
  <si>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</si>
  <si>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</si>
  <si>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</si>
  <si>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</si>
  <si>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</si>
  <si>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</si>
  <si>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</si>
  <si>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BOFA</t>
  </si>
  <si>
    <t>SCRUM</t>
  </si>
  <si>
    <t>Jeff</t>
  </si>
  <si>
    <t>Any 2</t>
  </si>
  <si>
    <t>Any</t>
  </si>
  <si>
    <t xml:space="preserve"> </t>
  </si>
  <si>
    <t>CUSTOMER</t>
  </si>
  <si>
    <t>MARCH_27_TESTDEV1</t>
  </si>
  <si>
    <t>Estimate</t>
  </si>
  <si>
    <t>Full Implementation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</si>
</sst>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C8" sqref="C8"/>
    </sheetView>
  </sheetViews>
  <sheetFormatPr defaultRowHeight="12.75" x14ac:dyDescent="0.2"/>
  <cols>
    <col min="1" max="1" width="27.1640625" style="2" bestFit="1" customWidth="1"/>
    <col min="2" max="2" width="26.6640625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263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263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270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169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42979</v>
      </c>
      <c r="W7" s="42"/>
    </row>
    <row r="8" spans="1:23" x14ac:dyDescent="0.2">
      <c r="A8" s="2" t="s">
        <v>5</v>
      </c>
      <c r="B8" s="84">
        <f>MAX(BID!B7)</f>
        <v>43374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271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269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272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264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GBP</v>
      </c>
      <c r="C14" s="4" t="s">
        <v>268</v>
      </c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252</v>
      </c>
      <c r="B15" s="375" t="s">
        <v>261</v>
      </c>
      <c r="C15" s="4"/>
      <c r="D15" s="3" t="s">
        <v>260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2170800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718578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1452222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0.6689800995024876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EU</v>
      </c>
      <c r="C20" s="4" t="str">
        <f>IF(B19&lt;Margin_Target,"Below 50% Margin"," ")</f>
        <v xml:space="preserve"> 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259</v>
      </c>
      <c r="B24" s="78">
        <f>BID!I59</f>
        <v>6432</v>
      </c>
      <c r="C24" s="79">
        <f>BID!P32+BID!P43</f>
        <v>1929600</v>
      </c>
      <c r="D24" s="79">
        <f>BID!P47+BID!P46</f>
        <v>0</v>
      </c>
      <c r="E24" s="79">
        <f>BID!P45</f>
        <v>241200</v>
      </c>
      <c r="F24" s="79"/>
      <c r="G24" s="112">
        <f>BID!P61</f>
        <v>2170800</v>
      </c>
      <c r="H24" s="79">
        <f>BID!K59</f>
        <v>1494180</v>
      </c>
      <c r="I24" s="79">
        <f>BID!M59</f>
        <v>718578</v>
      </c>
      <c r="J24" s="79">
        <f>G24-I24</f>
        <v>1452222</v>
      </c>
      <c r="K24" s="151">
        <f>IF(G24&gt;0,J24/G24,0)</f>
        <v>0.6689800995024876</v>
      </c>
      <c r="L24" s="195">
        <f>IF(B24&gt;0,G24/B24,0)</f>
        <v>337.5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6432</v>
      </c>
      <c r="C27" s="80">
        <f>SUM(C24:C26)</f>
        <v>1929600</v>
      </c>
      <c r="D27" s="80">
        <f>SUM(D24:D26)</f>
        <v>0</v>
      </c>
      <c r="E27" s="80">
        <f>SUM(E24:E26)</f>
        <v>241200</v>
      </c>
      <c r="F27" s="80"/>
      <c r="G27" s="114">
        <f>SUM(G24:G26)</f>
        <v>2170800</v>
      </c>
      <c r="H27" s="80">
        <f>SUM(H24:H26)</f>
        <v>1494180</v>
      </c>
      <c r="I27" s="80">
        <f>SUM(I24:I26)</f>
        <v>718578</v>
      </c>
      <c r="J27" s="81">
        <f>G27-I27</f>
        <v>1452222</v>
      </c>
      <c r="K27" s="154">
        <f>IF(G27&gt;0,J27/G27,0)</f>
        <v>0.6689800995024876</v>
      </c>
      <c r="L27" s="196">
        <f>IF(B27&gt;0,G27/B27,0)</f>
        <v>337.5</v>
      </c>
    </row>
    <row r="29" spans="1:23" x14ac:dyDescent="0.2">
      <c r="A29" s="2" t="str">
        <f>IF(B9="estimate","Estimate LOW","")</f>
        <v>Estimate LOW</v>
      </c>
      <c r="B29" s="128">
        <f>IF($B$9="estimate",BID!I63,"")</f>
        <v>6110.4</v>
      </c>
      <c r="G29" s="127">
        <f>IF(B9="estimate",SUM((BID!P63)),"")</f>
        <v>2062260</v>
      </c>
      <c r="J29" s="193"/>
    </row>
    <row r="30" spans="1:23" x14ac:dyDescent="0.2">
      <c r="A30" s="2" t="str">
        <f>IF(B9="estimate","Estimate HIGH","")</f>
        <v>Estimate HIGH</v>
      </c>
      <c r="B30" s="128">
        <f>IF($B$9="estimate",BID!I64,"")</f>
        <v>7718.4</v>
      </c>
      <c r="G30" s="127">
        <f>IF(B9="estimate",SUM((BID!P64)),"")</f>
        <v>2604960</v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250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BOFA</v>
      </c>
    </row>
    <row r="2" spans="1:148" x14ac:dyDescent="0.2">
      <c r="A2" s="264" t="s">
        <v>205</v>
      </c>
      <c r="B2" s="98" t="str">
        <f>INVESTMENT!B2</f>
        <v>BOFA</v>
      </c>
    </row>
    <row r="3" spans="1:148" x14ac:dyDescent="0.2">
      <c r="A3" s="264" t="s">
        <v>157</v>
      </c>
      <c r="B3" s="98" t="str">
        <f>INVESTMENT!B3</f>
        <v>MARCH_27_TESTDEV1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UK-GBP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43009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43374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Estimate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GBP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262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>Jeff</v>
      </c>
      <c r="C15" s="303"/>
      <c r="D15" s="303">
        <f>IF(INVESTMENT!D15="","",INVESTMENT!D15)</f>
        <v>1</v>
      </c>
      <c r="E15" s="304">
        <f>IF(INVESTMENT!E15="","",INVESTMENT!E15)</f>
        <v>43009</v>
      </c>
      <c r="F15" s="304">
        <f>IF(INVESTMENT!F15="","",INVESTMENT!F15)</f>
        <v>43374</v>
      </c>
      <c r="G15" s="451">
        <f>IF(INVESTMENT!G15="","",INVESTMENT!G15)</f>
        <v>0.5</v>
      </c>
      <c r="H15" s="305">
        <f>INVESTMENT!H15</f>
        <v>130.5</v>
      </c>
      <c r="I15" s="306">
        <f>INVESTMENT!I15</f>
        <v>1044</v>
      </c>
      <c r="J15" s="307">
        <f>INVESTMENT!J15</f>
        <v>200</v>
      </c>
      <c r="K15" s="308">
        <f>INVESTMENT!K15</f>
        <v>208800</v>
      </c>
      <c r="L15" s="309">
        <f>INVESTMENT!L15</f>
        <v>148</v>
      </c>
      <c r="M15" s="309">
        <f>INVESTMENT!M15</f>
        <v>154512</v>
      </c>
      <c r="N15" s="308">
        <f>INVESTMENT!N15</f>
        <v>54288</v>
      </c>
      <c r="O15" s="307">
        <f>INVESTMENT!O15</f>
        <v>250</v>
      </c>
      <c r="P15" s="309">
        <f>INVESTMENT!P15</f>
        <v>261000</v>
      </c>
      <c r="Q15" s="308">
        <f>INVESTMENT!Q15</f>
        <v>106488</v>
      </c>
      <c r="R15" s="310">
        <f>INVESTMENT!R15</f>
        <v>0.40799999999999997</v>
      </c>
      <c r="S15" s="311">
        <f>INVESTMENT!S15</f>
        <v>-0.25</v>
      </c>
      <c r="T15" s="284"/>
      <c r="U15" s="284" t="str">
        <f t="shared" ref="U15:U31" si="0">IF(ISBLANK(A15),"",CONCATENATE(C15,"-",$B$6))</f>
        <v>-UK-GBP</v>
      </c>
      <c r="Y15" s="284" t="s">
        <v>155</v>
      </c>
    </row>
    <row r="16" spans="1:148" outlineLevel="1" x14ac:dyDescent="0.2">
      <c r="A16" s="284" t="str">
        <f>IF(INVESTMENT!A16="","",INVESTMENT!A16)</f>
        <v>LSA</v>
      </c>
      <c r="B16" s="284" t="str">
        <f>IF(INVESTMENT!B16="","",INVESTMENT!B16)</f>
        <v>Any</v>
      </c>
      <c r="C16" s="284"/>
      <c r="D16" s="284">
        <f>IF(INVESTMENT!D16="","",INVESTMENT!D16)</f>
        <v>2</v>
      </c>
      <c r="E16" s="313">
        <f>IF(INVESTMENT!E16="","",INVESTMENT!E16)</f>
        <v>43009</v>
      </c>
      <c r="F16" s="313">
        <f>IF(INVESTMENT!F16="","",INVESTMENT!F16)</f>
        <v>43374</v>
      </c>
      <c r="G16" s="452">
        <f>IF(INVESTMENT!G16="","",INVESTMENT!G16)</f>
        <v>0.75</v>
      </c>
      <c r="H16" s="315">
        <f>INVESTMENT!H16</f>
        <v>195.75</v>
      </c>
      <c r="I16" s="316">
        <f>INVESTMENT!I16</f>
        <v>1566</v>
      </c>
      <c r="J16" s="272">
        <f>INVESTMENT!J16</f>
        <v>210</v>
      </c>
      <c r="K16" s="317">
        <f>INVESTMENT!K16</f>
        <v>328860</v>
      </c>
      <c r="L16" s="273">
        <f>INVESTMENT!L16</f>
        <v>73</v>
      </c>
      <c r="M16" s="273">
        <f>INVESTMENT!M16</f>
        <v>114318</v>
      </c>
      <c r="N16" s="317">
        <f>INVESTMENT!N16</f>
        <v>214542</v>
      </c>
      <c r="O16" s="272">
        <f>INVESTMENT!O16</f>
        <v>200</v>
      </c>
      <c r="P16" s="273">
        <f>INVESTMENT!P16</f>
        <v>313200</v>
      </c>
      <c r="Q16" s="317">
        <f>INVESTMENT!Q16</f>
        <v>198882</v>
      </c>
      <c r="R16" s="318">
        <f>INVESTMENT!R16</f>
        <v>0.63500000000000001</v>
      </c>
      <c r="S16" s="314">
        <f>INVESTMENT!S16</f>
        <v>4.7619047619047672E-2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-UK-GBP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-UK-GBP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-UK-GBP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-UK-GBP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-UK-GBP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-UK-GBP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-UK-GBP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-UK-GBP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-UK-GBP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326.25</v>
      </c>
      <c r="I32" s="330">
        <f>SUM(I15:I31)</f>
        <v>2610</v>
      </c>
      <c r="J32" s="269"/>
      <c r="K32" s="331">
        <f>SUM(K15:K31)</f>
        <v>537660</v>
      </c>
      <c r="L32" s="332"/>
      <c r="M32" s="332">
        <f>SUM(M15:M31)</f>
        <v>268830</v>
      </c>
      <c r="N32" s="331">
        <f>SUM(N15:N31)</f>
        <v>268830</v>
      </c>
      <c r="P32" s="332">
        <f>SUM(P15:P31)</f>
        <v>574200</v>
      </c>
      <c r="Q32" s="331">
        <f>SUM(Q15:Q31)</f>
        <v>305370</v>
      </c>
      <c r="R32" s="333">
        <f>IF(H32=0,"",Q32/P32)</f>
        <v>0.53181818181818186</v>
      </c>
      <c r="S32" s="292">
        <f>IF(H32=0,"",1-P32/K32)</f>
        <v>-6.7961165048543659E-2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-UK-GBP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-UK-GBP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-UK-GBP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-UK-GBP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-UK-GBP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-UK-GBP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-UK-GBP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326.25</v>
      </c>
      <c r="I48" s="342">
        <f>INVESTMENT!I48</f>
        <v>2610</v>
      </c>
      <c r="J48" s="269"/>
      <c r="K48" s="341">
        <f>INVESTMENT!K48</f>
        <v>537660</v>
      </c>
      <c r="L48" s="332"/>
      <c r="M48" s="341">
        <f>M32+M43+M45+M46+M47</f>
        <v>268830</v>
      </c>
      <c r="N48" s="341">
        <f>N32+N43+N45+N47+N58+N46</f>
        <v>268830</v>
      </c>
      <c r="P48" s="341">
        <f>P32+P43+P45+P46+P47</f>
        <v>574200</v>
      </c>
      <c r="Q48" s="341">
        <f>Q32+Q43+Q45+Q47+Q58+Q46</f>
        <v>305370</v>
      </c>
      <c r="R48" s="333">
        <f>IF(ISBLANK(A48),"",IF(P48&gt;0,Q48/P48,0))</f>
        <v>0.53181818181818186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326.25</v>
      </c>
      <c r="I59" s="330">
        <f>I48+I56</f>
        <v>2610</v>
      </c>
      <c r="J59" s="269"/>
      <c r="K59" s="331">
        <f>K48</f>
        <v>537660</v>
      </c>
      <c r="L59" s="332"/>
      <c r="M59" s="332">
        <f>M48+M58</f>
        <v>268830</v>
      </c>
      <c r="N59" s="331">
        <f>N48</f>
        <v>268830</v>
      </c>
      <c r="P59" s="332">
        <f>P48+P58</f>
        <v>574200</v>
      </c>
      <c r="Q59" s="331">
        <f>INVESTMENT!Q59</f>
        <v>305370</v>
      </c>
      <c r="R59" s="333">
        <f>INVESTMENT!R59</f>
        <v>0.53181818181818186</v>
      </c>
      <c r="S59" s="292">
        <f>INVESTMENT!S59</f>
        <v>-6.7961165048543659E-2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574200</v>
      </c>
      <c r="Q61" s="281">
        <f>INVESTMENT!Q61</f>
        <v>305370</v>
      </c>
      <c r="R61" s="351">
        <f>INVESTMENT!R61</f>
        <v>0.53181818181818186</v>
      </c>
      <c r="S61" s="352">
        <f>INVESTMENT!S61</f>
        <v>-6.7961165048543659E-2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>Low Estimate</v>
      </c>
      <c r="H63" s="330">
        <f>INVESTMENT!H63</f>
        <v>309.9375</v>
      </c>
      <c r="I63" s="330">
        <f>INVESTMENT!I63</f>
        <v>2479.5</v>
      </c>
      <c r="J63" s="269"/>
      <c r="K63" s="331">
        <f>INVESTMENT!K63</f>
        <v>510777</v>
      </c>
      <c r="L63" s="332"/>
      <c r="M63" s="331">
        <f>INVESTMENT!M63</f>
        <v>255388.5</v>
      </c>
      <c r="N63" s="331">
        <f>INVESTMENT!N63</f>
        <v>255388.5</v>
      </c>
      <c r="O63" s="291"/>
      <c r="P63" s="332">
        <f>INVESTMENT!P63</f>
        <v>545490</v>
      </c>
      <c r="Q63" s="331">
        <f>INVESTMENT!Q63</f>
        <v>290101.5</v>
      </c>
      <c r="R63" s="333">
        <f>INVESTMENT!R63</f>
        <v>0.53181818181818186</v>
      </c>
      <c r="S63" s="292"/>
    </row>
    <row r="64" spans="1:148" outlineLevel="1" x14ac:dyDescent="0.2">
      <c r="A64" s="264" t="str">
        <f>IF($B$9="Estimate","High Estimate","")</f>
        <v>High Estimate</v>
      </c>
      <c r="H64" s="330">
        <f>INVESTMENT!H64</f>
        <v>391.5</v>
      </c>
      <c r="I64" s="330">
        <f>INVESTMENT!I64</f>
        <v>3132</v>
      </c>
      <c r="J64" s="269"/>
      <c r="K64" s="331">
        <f>INVESTMENT!K64</f>
        <v>645192</v>
      </c>
      <c r="L64" s="332"/>
      <c r="M64" s="331">
        <f>INVESTMENT!M64</f>
        <v>322596</v>
      </c>
      <c r="N64" s="331">
        <f>INVESTMENT!N64</f>
        <v>322596</v>
      </c>
      <c r="O64" s="291"/>
      <c r="P64" s="332">
        <f>INVESTMENT!P64</f>
        <v>689040</v>
      </c>
      <c r="Q64" s="331">
        <f>INVESTMENT!Q64</f>
        <v>366444</v>
      </c>
      <c r="R64" s="333">
        <f>INVESTMENT!R64</f>
        <v>0.53181818181818186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BOFA</v>
      </c>
      <c r="C1" s="137"/>
      <c r="D1" s="137"/>
    </row>
    <row r="2" spans="1:148" x14ac:dyDescent="0.2">
      <c r="A2" s="126" t="s">
        <v>157</v>
      </c>
      <c r="B2" s="138" t="str">
        <f>BID!B2</f>
        <v>MARCH_27_TESTDEV1</v>
      </c>
      <c r="C2" s="137"/>
      <c r="D2" s="137"/>
      <c r="W2" s="382"/>
      <c r="Y2" s="96" t="s">
        <v>93</v>
      </c>
    </row>
    <row r="3" spans="1:148" x14ac:dyDescent="0.2">
      <c r="A3" s="126" t="s">
        <v>254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UK-GBP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42979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43374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Estimate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GBP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253</v>
      </c>
      <c r="C13" s="393" t="s">
        <v>91</v>
      </c>
      <c r="D13" s="393" t="s">
        <v>251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PL</v>
      </c>
      <c r="B14" s="190" t="str">
        <f>IF(BID!B14="","",BID!B14)</f>
        <v>Jeff</v>
      </c>
      <c r="C14" s="137"/>
      <c r="D14" s="401">
        <f>IF(BID!D14="","",BID!D14)</f>
        <v>1</v>
      </c>
      <c r="E14" s="402">
        <f>IF(BID!E14="","",BID!E14)</f>
        <v>42979</v>
      </c>
      <c r="F14" s="402">
        <f>IF(BID!F14="","",BID!F14)</f>
        <v>43374</v>
      </c>
      <c r="G14" s="403">
        <f>IF(BID!G14="","",BID!G14)</f>
        <v>1</v>
      </c>
      <c r="H14" s="404">
        <f>IF(BID!H14="","",BID!H14)</f>
        <v>282</v>
      </c>
      <c r="I14" s="404">
        <f>IF(BID!I14="","",BID!I14)</f>
        <v>2256</v>
      </c>
      <c r="J14" s="404">
        <f>IF(BID!J14="","",BID!J14)</f>
        <v>200</v>
      </c>
      <c r="K14" s="405">
        <f>IF(BID!K14="","",BID!K14)</f>
        <v>451200</v>
      </c>
      <c r="L14" s="217">
        <f>IF(BID!L14="","",BID!L14)</f>
        <v>148</v>
      </c>
      <c r="M14" s="405">
        <f>IF(BID!M14="","",BID!M14)</f>
        <v>333888</v>
      </c>
      <c r="N14" s="405">
        <f>IF(BID!N14="","",BID!N14)</f>
        <v>117312</v>
      </c>
      <c r="O14" s="217">
        <f>IF(BID!O14="","",BID!O14)</f>
        <v>300</v>
      </c>
      <c r="P14" s="405">
        <f>IF(BID!P14="","",BID!P14)</f>
        <v>676800</v>
      </c>
      <c r="Q14" s="405">
        <f>IF(BID!Q14="","",BID!Q14)</f>
        <v>342912</v>
      </c>
      <c r="R14" s="406">
        <f>IF(BID!R14="","",BID!R14)</f>
        <v>0.50666666666666671</v>
      </c>
      <c r="S14" s="407">
        <f>IF(BID!S14="","",BID!S14)</f>
        <v>-0.5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-UK-GBP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LSA</v>
      </c>
      <c r="B15" s="190" t="str">
        <f>IF(BID!B15="","",BID!B15)</f>
        <v>Any 2</v>
      </c>
      <c r="C15" s="137"/>
      <c r="D15" s="401">
        <f>IF(BID!D15="","",BID!D15)</f>
        <v>2</v>
      </c>
      <c r="E15" s="402">
        <f>IF(BID!E15="","",BID!E15)</f>
        <v>43009</v>
      </c>
      <c r="F15" s="402">
        <f>IF(BID!F15="","",BID!F15)</f>
        <v>43374</v>
      </c>
      <c r="G15" s="403">
        <f>IF(BID!G15="","",BID!G15)</f>
        <v>1</v>
      </c>
      <c r="H15" s="404">
        <f>IF(BID!H15="","",BID!H15)</f>
        <v>522</v>
      </c>
      <c r="I15" s="404">
        <f>IF(BID!I15="","",BID!I15)</f>
        <v>4176</v>
      </c>
      <c r="J15" s="404">
        <f>IF(BID!J15="","",BID!J15)</f>
        <v>210</v>
      </c>
      <c r="K15" s="405">
        <f>IF(BID!K15="","",BID!K15)</f>
        <v>876960</v>
      </c>
      <c r="L15" s="217">
        <f>IF(BID!L15="","",BID!L15)</f>
        <v>73</v>
      </c>
      <c r="M15" s="405">
        <f>IF(BID!M15="","",BID!M15)</f>
        <v>304848</v>
      </c>
      <c r="N15" s="405">
        <f>IF(BID!N15="","",BID!N15)</f>
        <v>572112</v>
      </c>
      <c r="O15" s="217">
        <f>IF(BID!O15="","",BID!O15)</f>
        <v>300</v>
      </c>
      <c r="P15" s="405">
        <f>IF(BID!P15="","",BID!P15)</f>
        <v>1252800</v>
      </c>
      <c r="Q15" s="405">
        <f>IF(BID!Q15="","",BID!Q15)</f>
        <v>947952</v>
      </c>
      <c r="R15" s="406">
        <f>IF(BID!R15="","",BID!R15)</f>
        <v>0.75666666666666671</v>
      </c>
      <c r="S15" s="407">
        <f>IF(BID!S15="","",BID!S15)</f>
        <v>-0.4285714285714286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1" t="str">
        <f>IF(BID!D16="","",BID!D16)</f>
        <v/>
      </c>
      <c r="E16" s="402" t="str">
        <f>IF(BID!E16="","",BID!E16)</f>
        <v/>
      </c>
      <c r="F16" s="402" t="str">
        <f>IF(BID!F16="","",BID!F16)</f>
        <v/>
      </c>
      <c r="G16" s="403">
        <f>IF(BID!G16="","",BID!G16)</f>
        <v>0</v>
      </c>
      <c r="H16" s="404" t="str">
        <f>IF(BID!H16="","",BID!H16)</f>
        <v/>
      </c>
      <c r="I16" s="404" t="str">
        <f>IF(BID!I16="","",BID!I16)</f>
        <v/>
      </c>
      <c r="J16" s="404" t="str">
        <f>IF(BID!J16="","",BID!J16)</f>
        <v/>
      </c>
      <c r="K16" s="405" t="str">
        <f>IF(BID!K16="","",BID!K16)</f>
        <v/>
      </c>
      <c r="L16" s="217" t="str">
        <f>IF(BID!L16="","",BID!L16)</f>
        <v/>
      </c>
      <c r="M16" s="405" t="str">
        <f>IF(BID!M16="","",BID!M16)</f>
        <v/>
      </c>
      <c r="N16" s="405" t="str">
        <f>IF(BID!N16="","",BID!N16)</f>
        <v/>
      </c>
      <c r="O16" s="217">
        <f>IF(BID!O16="","",BID!O16)</f>
        <v>0</v>
      </c>
      <c r="P16" s="405" t="str">
        <f>IF(BID!P16="","",BID!P16)</f>
        <v/>
      </c>
      <c r="Q16" s="405" t="str">
        <f>IF(BID!Q16="","",BID!Q16)</f>
        <v/>
      </c>
      <c r="R16" s="406" t="str">
        <f>IF(BID!R16="","",BID!R16)</f>
        <v/>
      </c>
      <c r="S16" s="407" t="str">
        <f>IF(BID!S16="","",BID!S16)</f>
        <v/>
      </c>
      <c r="T16" s="408" t="e">
        <f>IF(ISBLANK(A16),"",VLOOKUP(A16,gsrates!$A$3:$AL$38,38,FALSE))</f>
        <v>#N/A</v>
      </c>
      <c r="V16" s="381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-UK-GBP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-UK-GBP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-UK-GBP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-UK-GBP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-UK-GBP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-UK-GBP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-UK-GBP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-UK-GBP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-UK-GBP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804</v>
      </c>
      <c r="I32" s="412">
        <f>SUM(I14:I31)</f>
        <v>6432</v>
      </c>
      <c r="J32" s="33"/>
      <c r="K32" s="413">
        <f>SUM(K14:K31)</f>
        <v>1328160</v>
      </c>
      <c r="L32" s="215"/>
      <c r="M32" s="215">
        <f>SUM(M14:M31)</f>
        <v>638736</v>
      </c>
      <c r="N32" s="413">
        <f>SUM(N14:N31)</f>
        <v>689424</v>
      </c>
      <c r="P32" s="215">
        <f>SUM(P14:P31)</f>
        <v>1929600</v>
      </c>
      <c r="Q32" s="413">
        <f>SUM(Q14:Q31)</f>
        <v>1290864</v>
      </c>
      <c r="R32" s="414">
        <f>IF(H32=0,"",Q32/P32)</f>
        <v>0.6689800995024876</v>
      </c>
      <c r="S32" s="51">
        <f>IF(H32=0,"",1-P32/K32)</f>
        <v>-0.452837007589447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-UK-GBP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-UK-GBP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-UK-GBP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-UK-GBP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-UK-GBP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-UK-GBP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-UK-GBP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166020</v>
      </c>
      <c r="L45" s="215"/>
      <c r="M45" s="421">
        <f>BID!M45</f>
        <v>79842</v>
      </c>
      <c r="N45" s="421">
        <f>BID!N45</f>
        <v>86178</v>
      </c>
      <c r="P45" s="421">
        <f>BID!P45</f>
        <v>241200</v>
      </c>
      <c r="Q45" s="421">
        <f>BID!Q45</f>
        <v>161358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804</v>
      </c>
      <c r="I48" s="422">
        <f>BID!I48</f>
        <v>6432</v>
      </c>
      <c r="J48" s="33"/>
      <c r="K48" s="421">
        <f>BID!K48</f>
        <v>1494180</v>
      </c>
      <c r="L48" s="215"/>
      <c r="M48" s="421">
        <f>BID!M48</f>
        <v>718578</v>
      </c>
      <c r="N48" s="421">
        <f>BID!N48</f>
        <v>775602</v>
      </c>
      <c r="P48" s="421">
        <f>BID!P48</f>
        <v>2170800</v>
      </c>
      <c r="Q48" s="421">
        <f>BID!Q48</f>
        <v>1452222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804</v>
      </c>
      <c r="I59" s="412">
        <f>I48+I56</f>
        <v>6432</v>
      </c>
      <c r="J59" s="33"/>
      <c r="K59" s="413">
        <f>K48</f>
        <v>1494180</v>
      </c>
      <c r="L59" s="215"/>
      <c r="M59" s="215">
        <f>M48+M58</f>
        <v>718578</v>
      </c>
      <c r="N59" s="413">
        <f>N48</f>
        <v>775602</v>
      </c>
      <c r="P59" s="215">
        <f>P48+P58</f>
        <v>2170800</v>
      </c>
      <c r="Q59" s="413">
        <f>Q48</f>
        <v>1452222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2170800</v>
      </c>
      <c r="Q61" s="67">
        <f>P61-M59</f>
        <v>1452222</v>
      </c>
      <c r="R61" s="414">
        <f>BID!R59</f>
        <v>0.6689800995024876</v>
      </c>
      <c r="S61" s="414">
        <f>BID!S59</f>
        <v>-0.452837007589447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>Low Estimate</v>
      </c>
      <c r="H63" s="412">
        <f>H59*(1-$G$8)</f>
        <v>763.8</v>
      </c>
      <c r="I63" s="412">
        <f>I59*(1-$G$8)</f>
        <v>6110.4</v>
      </c>
      <c r="J63" s="33"/>
      <c r="K63" s="413">
        <f>K59*(1-$G$8)</f>
        <v>1419471</v>
      </c>
      <c r="L63" s="215"/>
      <c r="M63" s="215">
        <f>M59*(1-$G$8)</f>
        <v>682649.1</v>
      </c>
      <c r="N63" s="413">
        <f>N59*(1-$G$8)</f>
        <v>736821.9</v>
      </c>
      <c r="O63" s="386"/>
      <c r="P63" s="215">
        <f>P59*(1-$G$8)</f>
        <v>2062260</v>
      </c>
      <c r="Q63" s="413">
        <f>Q59*(1-$G$8)</f>
        <v>1379610.9</v>
      </c>
      <c r="R63" s="414">
        <f>IF(ISBLANK(A63),"",IF(P63&gt;0,Q63/P63,0))</f>
        <v>0.66898009950248749</v>
      </c>
      <c r="S63" s="51"/>
    </row>
    <row r="64" spans="1:148" outlineLevel="1" x14ac:dyDescent="0.2">
      <c r="A64" s="126" t="str">
        <f>IF($B$8="Estimate","High Estimate","")</f>
        <v>High Estimate</v>
      </c>
      <c r="H64" s="412">
        <f>H59*(1+$G$9)</f>
        <v>964.8</v>
      </c>
      <c r="I64" s="412">
        <f>I59*(1+$G$9)</f>
        <v>7718.4</v>
      </c>
      <c r="J64" s="33"/>
      <c r="K64" s="413">
        <f>K59*(1+$G$9)</f>
        <v>1793016</v>
      </c>
      <c r="L64" s="215"/>
      <c r="M64" s="215">
        <f>M59*(1+$G$9)</f>
        <v>862293.6</v>
      </c>
      <c r="N64" s="413">
        <f>N59*(1+$G$9)</f>
        <v>930722.4</v>
      </c>
      <c r="O64" s="386"/>
      <c r="P64" s="215">
        <f>P59*(1+$G$9)</f>
        <v>2604960</v>
      </c>
      <c r="Q64" s="413">
        <f>Q59*(1+$G$9)</f>
        <v>1742666.4</v>
      </c>
      <c r="R64" s="414">
        <f>IF(ISBLANK(A64),"",IF(P64&gt;0,Q64/P64,0))</f>
        <v>0.66898009950248749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258</v>
      </c>
      <c r="B6" s="130">
        <f>SUM(B2:B5)</f>
        <v>0</v>
      </c>
    </row>
  </sheetData>
  <sheetProtection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6" sqref="G6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MARCH_27_TESTDEV1</v>
      </c>
      <c r="C2" s="137"/>
      <c r="D2" s="137"/>
      <c r="W2" s="42"/>
      <c r="Y2" s="41" t="s">
        <v>93</v>
      </c>
    </row>
    <row r="3" spans="1:148" x14ac:dyDescent="0.2">
      <c r="A3" s="2" t="s">
        <v>254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UK-GBP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42979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43374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Estimate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GBP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253</v>
      </c>
      <c r="C13" s="12" t="s">
        <v>91</v>
      </c>
      <c r="D13" s="12" t="s">
        <v>251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207</v>
      </c>
      <c r="B14" s="156" t="s">
        <v>265</v>
      </c>
      <c r="C14" s="86"/>
      <c r="D14" s="372">
        <v>1</v>
      </c>
      <c r="E14" s="157">
        <v>42979</v>
      </c>
      <c r="F14" s="157">
        <v>43374</v>
      </c>
      <c r="G14" s="158">
        <v>1</v>
      </c>
      <c r="H14" s="159">
        <f>IF(D14&gt;0,IF(ISBLANK(A14),"",(NETWORKDAYS(E14,F14)*G14)*D14),"")</f>
        <v>282</v>
      </c>
      <c r="I14" s="160">
        <f t="shared" ref="I14:I31" si="0">IF(ISBLANK(A14),"",H14*$B$9)</f>
        <v>2256</v>
      </c>
      <c r="J14" s="172">
        <f>IF(ISBLANK(A14),"",VLOOKUP(A14,gsrates!$A$3:$AK$38,VLOOKUP($B$5,gsrates!$A$41:$C$58,2,FALSE),FALSE))</f>
        <v>200</v>
      </c>
      <c r="K14" s="79">
        <f t="shared" ref="K14:K31" si="1">IF(ISBLANK(A14),"",I14*J14)</f>
        <v>451200</v>
      </c>
      <c r="L14" s="203">
        <f>IF(ISBLANK(A14),"",VLOOKUP(A14,gsrates!$A$3:$AK$38,VLOOKUP($B$5,gsrates!$A$41:$C$58,3,FALSE),FALSE))</f>
        <v>148</v>
      </c>
      <c r="M14" s="203">
        <f t="shared" ref="M14:M31" si="2">IF(ISBLANK(A14),"",L14*H14*8)</f>
        <v>333888</v>
      </c>
      <c r="N14" s="79">
        <f t="shared" ref="N14:N31" si="3">IF(ISBLANK(A14),"",K14-M14)</f>
        <v>117312</v>
      </c>
      <c r="O14" s="173">
        <v>300</v>
      </c>
      <c r="P14" s="203">
        <f t="shared" ref="P14:P31" si="4">IF(ISBLANK(A14),"",H14*O14*$B$9)</f>
        <v>676800</v>
      </c>
      <c r="Q14" s="79">
        <f t="shared" ref="Q14:Q31" si="5">IF(ISBLANK(A14),"",P14-M14)</f>
        <v>342912</v>
      </c>
      <c r="R14" s="151">
        <f t="shared" ref="R14:R31" si="6">IF(ISBLANK(A14),"",Q14/P14)</f>
        <v>0.50666666666666671</v>
      </c>
      <c r="S14" s="162">
        <f t="shared" ref="S14:S31" si="7">IF(ISBLANK(A14),"",1-P14/K14)</f>
        <v>-0.5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-UK-GBP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211</v>
      </c>
      <c r="B15" s="156" t="s">
        <v>266</v>
      </c>
      <c r="C15" s="86"/>
      <c r="D15" s="372">
        <v>2</v>
      </c>
      <c r="E15" s="157">
        <v>43009</v>
      </c>
      <c r="F15" s="157">
        <v>43374</v>
      </c>
      <c r="G15" s="158">
        <v>1</v>
      </c>
      <c r="H15" s="159">
        <f>IF(D15&gt;0,(IF(ISBLANK(A15),"",NETWORKDAYS(E15,F15)*G15)*D15),"")</f>
        <v>522</v>
      </c>
      <c r="I15" s="160">
        <f t="shared" si="0"/>
        <v>4176</v>
      </c>
      <c r="J15" s="172">
        <f>IF(ISBLANK(A15),"",VLOOKUP(A15,gsrates!$A$3:$AK$38,VLOOKUP($B$5,gsrates!$A$41:$C$58,2,FALSE),FALSE))</f>
        <v>210</v>
      </c>
      <c r="K15" s="79">
        <f t="shared" si="1"/>
        <v>876960</v>
      </c>
      <c r="L15" s="203">
        <f>IF(ISBLANK(A15),"",VLOOKUP(A15,gsrates!$A$3:$AK$38,VLOOKUP($B$5,gsrates!$A$41:$C$58,3,FALSE),FALSE))</f>
        <v>73</v>
      </c>
      <c r="M15" s="203">
        <f t="shared" si="2"/>
        <v>304848</v>
      </c>
      <c r="N15" s="79">
        <f t="shared" si="3"/>
        <v>572112</v>
      </c>
      <c r="O15" s="173">
        <v>300</v>
      </c>
      <c r="P15" s="203">
        <f t="shared" si="4"/>
        <v>1252800</v>
      </c>
      <c r="Q15" s="79">
        <f t="shared" si="5"/>
        <v>947952</v>
      </c>
      <c r="R15" s="151">
        <f t="shared" si="6"/>
        <v>0.75666666666666671</v>
      </c>
      <c r="S15" s="162">
        <f t="shared" si="7"/>
        <v>-0.4285714285714286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/>
      <c r="B16" s="156"/>
      <c r="C16" s="86"/>
      <c r="D16" s="372"/>
      <c r="E16" s="157"/>
      <c r="F16" s="157"/>
      <c r="G16" s="158">
        <v>0</v>
      </c>
      <c r="H16" s="159" t="str">
        <f t="shared" ref="H16:H30" si="10"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0" t="str">
        <f>IF(ISBLANK(A16),"",VLOOKUP(A16,gsrates!$A$3:$AL$38,38,FALSE))</f>
        <v/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804</v>
      </c>
      <c r="I32" s="9">
        <f>SUM(I14:I31)</f>
        <v>6432</v>
      </c>
      <c r="J32" s="31"/>
      <c r="K32" s="36">
        <f>SUM(K14:K31)</f>
        <v>1328160</v>
      </c>
      <c r="L32" s="205"/>
      <c r="M32" s="205">
        <f>SUM(M14:M31)</f>
        <v>638736</v>
      </c>
      <c r="N32" s="36">
        <f>SUM(N14:N31)</f>
        <v>689424</v>
      </c>
      <c r="O32" s="33"/>
      <c r="P32" s="205">
        <f>SUM(P14:P31)</f>
        <v>1929600</v>
      </c>
      <c r="Q32" s="36">
        <f>SUM(Q14:Q31)</f>
        <v>1290864</v>
      </c>
      <c r="R32" s="15">
        <f>IF(H32=0,"",Q32/P32)</f>
        <v>0.6689800995024876</v>
      </c>
      <c r="S32" s="8">
        <f>IF(H32=0,"",1-P32/K32)</f>
        <v>-0.452837007589447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166020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79842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86178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241200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161358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804</v>
      </c>
      <c r="I48" s="448">
        <f>IF(ISBLANK($B$6),0,H48*$B$9)</f>
        <v>6432</v>
      </c>
      <c r="J48" s="33"/>
      <c r="K48" s="17">
        <f>K32+K43+K45+K46+K47</f>
        <v>1494180</v>
      </c>
      <c r="L48" s="205"/>
      <c r="M48" s="17">
        <f>M32+M43+M45+M46+M47</f>
        <v>718578</v>
      </c>
      <c r="N48" s="17">
        <f>N32+N43+N45+N47+N58+N46</f>
        <v>775602</v>
      </c>
      <c r="P48" s="17">
        <f>P32+P43+P45+P46+P47</f>
        <v>2170800</v>
      </c>
      <c r="Q48" s="17">
        <f>Q32+Q43+Q45+Q47+Q58+Q46</f>
        <v>1452222</v>
      </c>
      <c r="R48" s="15">
        <f>IF(ISBLANK(A48),"",IF(P48&gt;0,Q48/P48,0))</f>
        <v>0.6689800995024876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804</v>
      </c>
      <c r="I59" s="9">
        <f>I48+I56</f>
        <v>6432</v>
      </c>
      <c r="J59" s="31"/>
      <c r="K59" s="36">
        <f>K48</f>
        <v>1494180</v>
      </c>
      <c r="L59" s="205"/>
      <c r="M59" s="205">
        <f>M48+M58</f>
        <v>718578</v>
      </c>
      <c r="N59" s="36">
        <f>N48</f>
        <v>775602</v>
      </c>
      <c r="O59" s="33"/>
      <c r="P59" s="205">
        <f>P48+P58</f>
        <v>2170800</v>
      </c>
      <c r="Q59" s="36">
        <f>Q48</f>
        <v>1452222</v>
      </c>
      <c r="R59" s="15">
        <f>IF(ISBLANK(A59),"",IF(P59&gt;0,Q59/P59,0))</f>
        <v>0.6689800995024876</v>
      </c>
      <c r="S59" s="8">
        <f>IF(ISBLANK(A59),"",IF(K59&gt;0,1-P59/K59,1))</f>
        <v>-0.452837007589447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2170800</v>
      </c>
      <c r="Q61" s="43">
        <f>P61-M59</f>
        <v>1452222</v>
      </c>
      <c r="R61" s="44">
        <f>IF(ISBLANK(A61),"",IF(P61&gt;0,Q61/P61,0))</f>
        <v>0.6689800995024876</v>
      </c>
      <c r="S61" s="45">
        <f>IF(ISBLANK(A61),"",IF(K59&gt;0,1-P61/K59,1))</f>
        <v>-0.452837007589447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>Low Estimate</v>
      </c>
      <c r="H63" s="9">
        <f>H59*(1-$G$8)</f>
        <v>763.8</v>
      </c>
      <c r="I63" s="9">
        <f>I59*(1-$G$8)</f>
        <v>6110.4</v>
      </c>
      <c r="J63" s="31"/>
      <c r="K63" s="36">
        <f>K59*(1-$G$8)</f>
        <v>1419471</v>
      </c>
      <c r="L63" s="205"/>
      <c r="M63" s="205">
        <f>M59*(1-$G$8)</f>
        <v>682649.1</v>
      </c>
      <c r="N63" s="36">
        <f>N59*(1-$G$8)</f>
        <v>736821.9</v>
      </c>
      <c r="O63" s="49"/>
      <c r="P63" s="205">
        <f>P59*(1-$G$8)</f>
        <v>2062260</v>
      </c>
      <c r="Q63" s="36">
        <f>Q59*(1-$G$8)</f>
        <v>1379610.9</v>
      </c>
      <c r="R63" s="15">
        <f>IF(ISBLANK(A63),"",IF(P63&gt;0,Q63/P63,0))</f>
        <v>0.66898009950248749</v>
      </c>
      <c r="S63" s="8"/>
    </row>
    <row r="64" spans="1:148" outlineLevel="1" x14ac:dyDescent="0.2">
      <c r="A64" s="2" t="str">
        <f>IF($B$8="Estimate","High Estimate","")</f>
        <v>High Estimate</v>
      </c>
      <c r="H64" s="9">
        <f>H59*(1+$G$9)</f>
        <v>964.8</v>
      </c>
      <c r="I64" s="9">
        <f>I59*(1+$G$9)</f>
        <v>7718.4</v>
      </c>
      <c r="J64" s="31"/>
      <c r="K64" s="36">
        <f>K59*(1+$G$9)</f>
        <v>1793016</v>
      </c>
      <c r="L64" s="205"/>
      <c r="M64" s="205">
        <f>M59*(1+$G$9)</f>
        <v>862293.6</v>
      </c>
      <c r="N64" s="36">
        <f>N59*(1+$G$9)</f>
        <v>930722.4</v>
      </c>
      <c r="O64" s="49"/>
      <c r="P64" s="205">
        <f>P59*(1+$G$9)</f>
        <v>2604960</v>
      </c>
      <c r="Q64" s="36">
        <f>Q59*(1+$G$9)</f>
        <v>1742666.4</v>
      </c>
      <c r="R64" s="15">
        <f>IF(ISBLANK(A64),"",IF(P64&gt;0,Q64/P64,0))</f>
        <v>0.66898009950248749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255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256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257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BOFA</v>
      </c>
      <c r="C1" s="137"/>
    </row>
    <row r="2" spans="1:147" x14ac:dyDescent="0.2">
      <c r="A2" s="2" t="s">
        <v>157</v>
      </c>
      <c r="B2" s="135" t="str">
        <f>IF(ISBLANK(Summary!B3)," ",Summary!B3)</f>
        <v>MARCH_27_TESTDEV1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Fixed Price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UK-GBP</v>
      </c>
      <c r="C5" s="98"/>
      <c r="G5" s="124" t="e">
        <f>IF(AND(O75&gt;0,O77=0),"Enter Total Price in N43"," ")</f>
        <v>#REF!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Estimate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GBP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207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200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148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-UK-GBP</v>
      </c>
      <c r="X14" s="41" t="s">
        <v>155</v>
      </c>
    </row>
    <row r="15" spans="1:147" outlineLevel="1" x14ac:dyDescent="0.2">
      <c r="A15" s="156" t="s">
        <v>208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185</v>
      </c>
      <c r="J15" s="79">
        <f t="shared" si="2"/>
        <v>0</v>
      </c>
      <c r="K15" s="203">
        <f>IF(ISBLANK(A15),"",VLOOKUP(A15,gsrates!$A$3:$AK$38,VLOOKUP($B$5,gsrates!$A$41:$C$58,3,FALSE),FALSE))</f>
        <v>89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-UK-GBP</v>
      </c>
    </row>
    <row r="16" spans="1:147" outlineLevel="1" x14ac:dyDescent="0.2">
      <c r="A16" s="156" t="s">
        <v>209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225</v>
      </c>
      <c r="J16" s="79">
        <f t="shared" si="2"/>
        <v>0</v>
      </c>
      <c r="K16" s="203">
        <f>IF(ISBLANK(A16),"",VLOOKUP(A16,gsrates!$A$3:$AK$38,VLOOKUP($B$5,gsrates!$A$41:$C$58,3,FALSE),FALSE))</f>
        <v>85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-UK-GBP</v>
      </c>
    </row>
    <row r="17" spans="1:20" outlineLevel="1" x14ac:dyDescent="0.2">
      <c r="A17" s="156" t="s">
        <v>210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225</v>
      </c>
      <c r="J17" s="79">
        <f t="shared" si="2"/>
        <v>0</v>
      </c>
      <c r="K17" s="203">
        <f>IF(ISBLANK(A17),"",VLOOKUP(A17,gsrates!$A$3:$AK$38,VLOOKUP($B$5,gsrates!$A$41:$C$58,3,FALSE),FALSE))</f>
        <v>100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-UK-GBP</v>
      </c>
    </row>
    <row r="18" spans="1:20" outlineLevel="1" x14ac:dyDescent="0.2">
      <c r="A18" s="156" t="s">
        <v>211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210</v>
      </c>
      <c r="J18" s="79">
        <f t="shared" si="2"/>
        <v>0</v>
      </c>
      <c r="K18" s="203">
        <f>IF(ISBLANK(A18),"",VLOOKUP(A18,gsrates!$A$3:$AK$38,VLOOKUP($B$5,gsrates!$A$41:$C$58,3,FALSE),FALSE))</f>
        <v>73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-UK-GBP</v>
      </c>
    </row>
    <row r="19" spans="1:20" outlineLevel="1" x14ac:dyDescent="0.2">
      <c r="A19" s="156" t="s">
        <v>212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210</v>
      </c>
      <c r="J19" s="79">
        <f t="shared" si="2"/>
        <v>0</v>
      </c>
      <c r="K19" s="203">
        <f>IF(ISBLANK(A19),"",VLOOKUP(A19,gsrates!$A$3:$AK$38,VLOOKUP($B$5,gsrates!$A$41:$C$58,3,FALSE),FALSE))</f>
        <v>74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-UK-GBP</v>
      </c>
    </row>
    <row r="20" spans="1:20" outlineLevel="1" x14ac:dyDescent="0.2">
      <c r="A20" s="156" t="s">
        <v>213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165</v>
      </c>
      <c r="J20" s="79">
        <f t="shared" si="2"/>
        <v>0</v>
      </c>
      <c r="K20" s="203">
        <f>IF(ISBLANK(A20),"",VLOOKUP(A20,gsrates!$A$3:$AK$38,VLOOKUP($B$5,gsrates!$A$41:$C$58,3,FALSE),FALSE))</f>
        <v>61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-UK-GBP</v>
      </c>
    </row>
    <row r="21" spans="1:20" outlineLevel="1" x14ac:dyDescent="0.2">
      <c r="A21" s="156" t="s">
        <v>214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165</v>
      </c>
      <c r="J21" s="79">
        <f t="shared" si="2"/>
        <v>0</v>
      </c>
      <c r="K21" s="203">
        <f>IF(ISBLANK(A21),"",VLOOKUP(A21,gsrates!$A$3:$AK$38,VLOOKUP($B$5,gsrates!$A$41:$C$58,3,FALSE),FALSE))</f>
        <v>59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-UK-GBP</v>
      </c>
    </row>
    <row r="22" spans="1:20" outlineLevel="1" x14ac:dyDescent="0.2">
      <c r="A22" s="156" t="s">
        <v>215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125</v>
      </c>
      <c r="J22" s="79">
        <f t="shared" si="2"/>
        <v>0</v>
      </c>
      <c r="K22" s="203">
        <f>IF(ISBLANK(A22),"",VLOOKUP(A22,gsrates!$A$3:$AK$38,VLOOKUP($B$5,gsrates!$A$41:$C$58,3,FALSE),FALSE))</f>
        <v>35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-UK-GBP</v>
      </c>
    </row>
    <row r="23" spans="1:20" outlineLevel="1" x14ac:dyDescent="0.2">
      <c r="A23" s="156" t="s">
        <v>216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75</v>
      </c>
      <c r="J23" s="79">
        <f t="shared" si="2"/>
        <v>0</v>
      </c>
      <c r="K23" s="203">
        <f>IF(ISBLANK(A23),"",VLOOKUP(A23,gsrates!$A$3:$AK$38,VLOOKUP($B$5,gsrates!$A$41:$C$58,3,FALSE),FALSE))</f>
        <v>25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217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225</v>
      </c>
      <c r="J24" s="79">
        <f t="shared" si="2"/>
        <v>0</v>
      </c>
      <c r="K24" s="203">
        <f>IF(ISBLANK(A24),"",VLOOKUP(A24,gsrates!$A$3:$AK$38,VLOOKUP($B$5,gsrates!$A$41:$C$58,3,FALSE),FALSE))</f>
        <v>93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-UK-GBP</v>
      </c>
    </row>
    <row r="25" spans="1:20" outlineLevel="1" x14ac:dyDescent="0.2">
      <c r="A25" s="156" t="s">
        <v>218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185</v>
      </c>
      <c r="J25" s="79">
        <f t="shared" si="2"/>
        <v>0</v>
      </c>
      <c r="K25" s="203">
        <f>IF(ISBLANK(A25),"",VLOOKUP(A25,gsrates!$A$3:$AK$38,VLOOKUP($B$5,gsrates!$A$41:$C$58,3,FALSE),FALSE))</f>
        <v>63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-UK-GBP</v>
      </c>
    </row>
    <row r="26" spans="1:20" outlineLevel="1" x14ac:dyDescent="0.2">
      <c r="A26" s="156" t="s">
        <v>219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165</v>
      </c>
      <c r="J26" s="79">
        <f t="shared" si="2"/>
        <v>0</v>
      </c>
      <c r="K26" s="203">
        <f>IF(ISBLANK(A26),"",VLOOKUP(A26,gsrates!$A$3:$AK$38,VLOOKUP($B$5,gsrates!$A$41:$C$58,3,FALSE),FALSE))</f>
        <v>62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-UK-GBP</v>
      </c>
    </row>
    <row r="27" spans="1:20" outlineLevel="1" x14ac:dyDescent="0.2">
      <c r="A27" s="156" t="s">
        <v>220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125</v>
      </c>
      <c r="J27" s="79">
        <f t="shared" si="2"/>
        <v>0</v>
      </c>
      <c r="K27" s="203">
        <f>IF(ISBLANK(A27),"",VLOOKUP(A27,gsrates!$A$3:$AK$38,VLOOKUP($B$5,gsrates!$A$41:$C$58,3,FALSE),FALSE))</f>
        <v>35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-UK-GBP</v>
      </c>
    </row>
    <row r="28" spans="1:20" outlineLevel="1" x14ac:dyDescent="0.2">
      <c r="A28" s="156" t="s">
        <v>221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185</v>
      </c>
      <c r="J28" s="79">
        <f t="shared" si="2"/>
        <v>0</v>
      </c>
      <c r="K28" s="203">
        <f>IF(ISBLANK(A28),"",VLOOKUP(A28,gsrates!$A$3:$AK$38,VLOOKUP($B$5,gsrates!$A$41:$C$58,3,FALSE),FALSE))</f>
        <v>63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222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225</v>
      </c>
      <c r="J29" s="79">
        <f t="shared" si="2"/>
        <v>0</v>
      </c>
      <c r="K29" s="203">
        <f>IF(ISBLANK(A29),"",VLOOKUP(A29,gsrates!$A$3:$AK$38,VLOOKUP($B$5,gsrates!$A$41:$C$58,3,FALSE),FALSE))</f>
        <v>93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223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185</v>
      </c>
      <c r="J30" s="79">
        <f t="shared" si="2"/>
        <v>0</v>
      </c>
      <c r="K30" s="203">
        <f>IF(ISBLANK(A30),"",VLOOKUP(A30,gsrates!$A$3:$AK$38,VLOOKUP($B$5,gsrates!$A$41:$C$58,3,FALSE),FALSE))</f>
        <v>58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-UK-GBP</v>
      </c>
    </row>
    <row r="31" spans="1:20" outlineLevel="1" x14ac:dyDescent="0.2">
      <c r="A31" s="156" t="s">
        <v>224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185</v>
      </c>
      <c r="J31" s="79">
        <f t="shared" si="2"/>
        <v>0</v>
      </c>
      <c r="K31" s="203">
        <f>IF(ISBLANK(A31),"",VLOOKUP(A31,gsrates!$A$3:$AK$38,VLOOKUP($B$5,gsrates!$A$41:$C$58,3,FALSE),FALSE))</f>
        <v>58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225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185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73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226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185</v>
      </c>
      <c r="J33" s="79">
        <f t="shared" si="12"/>
        <v>0</v>
      </c>
      <c r="K33" s="203">
        <f>IF(ISBLANK(A33),"",VLOOKUP(A33,gsrates!$A$3:$AK$38,VLOOKUP($B$5,gsrates!$A$41:$C$58,3,FALSE),FALSE))</f>
        <v>73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227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185</v>
      </c>
      <c r="J34" s="79">
        <f t="shared" si="12"/>
        <v>0</v>
      </c>
      <c r="K34" s="203">
        <f>IF(ISBLANK(A34),"",VLOOKUP(A34,gsrates!$A$3:$AK$38,VLOOKUP($B$5,gsrates!$A$41:$C$58,3,FALSE),FALSE))</f>
        <v>73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228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102</v>
      </c>
      <c r="J35" s="79">
        <f t="shared" si="12"/>
        <v>0</v>
      </c>
      <c r="K35" s="203">
        <f>IF(ISBLANK(A35),"",VLOOKUP(A35,gsrates!$A$3:$AK$38,VLOOKUP($B$5,gsrates!$A$41:$C$58,3,FALSE),FALSE))</f>
        <v>31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229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82</v>
      </c>
      <c r="J36" s="79">
        <f t="shared" si="12"/>
        <v>0</v>
      </c>
      <c r="K36" s="203">
        <f>IF(ISBLANK(A36),"",VLOOKUP(A36,gsrates!$A$3:$AK$38,VLOOKUP($B$5,gsrates!$A$41:$C$58,3,FALSE),FALSE))</f>
        <v>27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230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55</v>
      </c>
      <c r="J37" s="79">
        <f t="shared" si="12"/>
        <v>0</v>
      </c>
      <c r="K37" s="203">
        <f>IF(ISBLANK(A37),"",VLOOKUP(A37,gsrates!$A$3:$AK$38,VLOOKUP($B$5,gsrates!$A$41:$C$58,3,FALSE),FALSE))</f>
        <v>19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232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82</v>
      </c>
      <c r="J38" s="79">
        <f t="shared" si="12"/>
        <v>0</v>
      </c>
      <c r="K38" s="203">
        <f>IF(ISBLANK(A38),"",VLOOKUP(A38,gsrates!$A$3:$AK$38,VLOOKUP($B$5,gsrates!$A$41:$C$58,3,FALSE),FALSE))</f>
        <v>31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233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55</v>
      </c>
      <c r="J39" s="79">
        <f t="shared" si="12"/>
        <v>0</v>
      </c>
      <c r="K39" s="203">
        <f>IF(ISBLANK(A39),"",VLOOKUP(A39,gsrates!$A$3:$AK$38,VLOOKUP($B$5,gsrates!$A$41:$C$58,3,FALSE),FALSE))</f>
        <v>27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234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41</v>
      </c>
      <c r="J40" s="79">
        <f t="shared" si="12"/>
        <v>0</v>
      </c>
      <c r="K40" s="203">
        <f>IF(ISBLANK(A40),"",VLOOKUP(A40,gsrates!$A$3:$AK$38,VLOOKUP($B$5,gsrates!$A$41:$C$58,3,FALSE),FALSE))</f>
        <v>19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236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58</v>
      </c>
      <c r="J41" s="79">
        <f t="shared" si="12"/>
        <v>0</v>
      </c>
      <c r="K41" s="203">
        <f>IF(ISBLANK(A41),"",VLOOKUP(A41,gsrates!$A$3:$AK$38,VLOOKUP($B$5,gsrates!$A$41:$C$58,3,FALSE),FALSE))</f>
        <v>44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237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36</v>
      </c>
      <c r="J42" s="79">
        <f t="shared" si="12"/>
        <v>0</v>
      </c>
      <c r="K42" s="203">
        <f>IF(ISBLANK(A42),"",VLOOKUP(A42,gsrates!$A$3:$AK$38,VLOOKUP($B$5,gsrates!$A$41:$C$58,3,FALSE),FALSE))</f>
        <v>14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238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49</v>
      </c>
      <c r="J43" s="79">
        <f t="shared" si="12"/>
        <v>0</v>
      </c>
      <c r="K43" s="203">
        <f>IF(ISBLANK(A43),"",VLOOKUP(A43,gsrates!$A$3:$AK$38,VLOOKUP($B$5,gsrates!$A$41:$C$58,3,FALSE),FALSE))</f>
        <v>29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239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32</v>
      </c>
      <c r="J44" s="79">
        <f t="shared" si="12"/>
        <v>0</v>
      </c>
      <c r="K44" s="203">
        <f>IF(ISBLANK(A44),"",VLOOKUP(A44,gsrates!$A$3:$AK$38,VLOOKUP($B$5,gsrates!$A$41:$C$58,3,FALSE),FALSE))</f>
        <v>15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240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26</v>
      </c>
      <c r="J45" s="79">
        <f t="shared" si="12"/>
        <v>0</v>
      </c>
      <c r="K45" s="203">
        <f>IF(ISBLANK(A45),"",VLOOKUP(A45,gsrates!$A$3:$AK$38,VLOOKUP($B$5,gsrates!$A$41:$C$58,3,FALSE),FALSE))</f>
        <v>11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241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23</v>
      </c>
      <c r="J46" s="79">
        <f>IF(ISBLANK(A46),"",H46*I46)</f>
        <v>0</v>
      </c>
      <c r="K46" s="203">
        <f>IF(ISBLANK(A46),"",VLOOKUP(A46,gsrates!$A$3:$AK$38,VLOOKUP($B$5,gsrates!$A$41:$C$58,3,FALSE),FALSE))</f>
        <v>7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242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60</v>
      </c>
      <c r="J47" s="81">
        <f>IF(ISBLANK(A47),"",H47*I47)</f>
        <v>0</v>
      </c>
      <c r="K47" s="204">
        <f>IF(ISBLANK(A47),"",VLOOKUP(A47,gsrates!$A$3:$AK$38,VLOOKUP($B$5,gsrates!$A$41:$C$58,3,FALSE),FALSE))</f>
        <v>22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-UK-GBP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 t="e">
        <f>IF($B$4="Fixed Price",L74,0)</f>
        <v>#REF!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 t="e">
        <f>O64+O74</f>
        <v>#REF!</v>
      </c>
      <c r="P75" s="36">
        <f>P64</f>
        <v>0</v>
      </c>
      <c r="Q75" s="15" t="e">
        <f>IF(ISBLANK(A75),"",IF(O75&gt;0,P75/O75,0))</f>
        <v>#REF!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 t="e">
        <f>O75</f>
        <v>#REF!</v>
      </c>
      <c r="P77" s="43" t="e">
        <f>O77-L75</f>
        <v>#REF!</v>
      </c>
      <c r="Q77" s="44" t="e">
        <f>IF(ISBLANK(A77),"",IF(O77&gt;0,P77/O77,0))</f>
        <v>#REF!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>Low Estimate</v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 t="e">
        <f>O75*(1-$F$8)</f>
        <v>#REF!</v>
      </c>
      <c r="P79" s="36">
        <f>P75*(1-$F$8)</f>
        <v>0</v>
      </c>
      <c r="Q79" s="15" t="e">
        <f>IF(ISBLANK(A79),"",IF(O79&gt;0,P79/O79,0))</f>
        <v>#REF!</v>
      </c>
      <c r="R79" s="260"/>
    </row>
    <row r="80" spans="1:147" outlineLevel="1" x14ac:dyDescent="0.2">
      <c r="A80" s="2" t="str">
        <f>IF($B$8="Estimate","High Estimate","")</f>
        <v>High Estimate</v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 t="e">
        <f>O75*(1+$F$9)</f>
        <v>#REF!</v>
      </c>
      <c r="P80" s="36">
        <f>P75*(1+$F$9)</f>
        <v>0</v>
      </c>
      <c r="Q80" s="15" t="e">
        <f>IF(ISBLANK(A80),"",IF(O80&gt;0,P80/O80,0))</f>
        <v>#REF!</v>
      </c>
      <c r="R80" s="260"/>
    </row>
    <row r="81" spans="9:9" x14ac:dyDescent="0.2">
      <c r="I81" s="31"/>
    </row>
  </sheetData>
  <sheetProtection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59" t="s">
        <v>132</v>
      </c>
      <c r="C1" s="459"/>
      <c r="D1" s="460" t="s">
        <v>169</v>
      </c>
      <c r="E1" s="461"/>
      <c r="F1" s="464" t="s">
        <v>170</v>
      </c>
      <c r="G1" s="463"/>
      <c r="H1" s="466" t="s">
        <v>175</v>
      </c>
      <c r="I1" s="462"/>
      <c r="J1" s="465" t="s">
        <v>172</v>
      </c>
      <c r="K1" s="459"/>
      <c r="L1" s="462" t="s">
        <v>146</v>
      </c>
      <c r="M1" s="462"/>
      <c r="N1" s="460" t="s">
        <v>196</v>
      </c>
      <c r="O1" s="461"/>
      <c r="P1" s="463" t="s">
        <v>147</v>
      </c>
      <c r="Q1" s="463"/>
      <c r="R1" s="459" t="s">
        <v>148</v>
      </c>
      <c r="S1" s="459"/>
      <c r="T1" s="466" t="s">
        <v>198</v>
      </c>
      <c r="U1" s="462"/>
      <c r="V1" s="465" t="s">
        <v>197</v>
      </c>
      <c r="W1" s="459"/>
      <c r="X1" s="460" t="s">
        <v>151</v>
      </c>
      <c r="Y1" s="461"/>
      <c r="Z1" s="460" t="s">
        <v>245</v>
      </c>
      <c r="AA1" s="461"/>
      <c r="AB1" s="466" t="s">
        <v>176</v>
      </c>
      <c r="AC1" s="462"/>
      <c r="AD1" s="465" t="s">
        <v>195</v>
      </c>
      <c r="AE1" s="459"/>
      <c r="AF1" s="462" t="s">
        <v>149</v>
      </c>
      <c r="AG1" s="462"/>
      <c r="AH1" s="463" t="s">
        <v>150</v>
      </c>
      <c r="AI1" s="463"/>
      <c r="AJ1" s="465" t="s">
        <v>156</v>
      </c>
      <c r="AK1" s="459"/>
      <c r="AL1" s="467"/>
      <c r="AM1" s="468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207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208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209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210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211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212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213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214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215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216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217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218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219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220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221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222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223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224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225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226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227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228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229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230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231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232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233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234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235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236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237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238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239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240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241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242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245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206</v>
      </c>
      <c r="B59" s="223">
        <v>38</v>
      </c>
      <c r="C59" s="223">
        <v>38</v>
      </c>
    </row>
    <row r="60" spans="1:3" x14ac:dyDescent="0.2">
      <c r="B60" s="223" t="s">
        <v>243</v>
      </c>
    </row>
    <row r="61" spans="1:3" x14ac:dyDescent="0.2">
      <c r="A61" s="96" t="s">
        <v>207</v>
      </c>
      <c r="B61" s="223" t="s">
        <v>246</v>
      </c>
    </row>
    <row r="62" spans="1:3" x14ac:dyDescent="0.2">
      <c r="A62" s="96" t="s">
        <v>208</v>
      </c>
      <c r="B62" s="223" t="s">
        <v>246</v>
      </c>
    </row>
    <row r="63" spans="1:3" x14ac:dyDescent="0.2">
      <c r="A63" s="96" t="s">
        <v>209</v>
      </c>
      <c r="B63" s="223" t="s">
        <v>244</v>
      </c>
    </row>
    <row r="64" spans="1:3" x14ac:dyDescent="0.2">
      <c r="A64" s="96" t="s">
        <v>210</v>
      </c>
      <c r="B64" s="223" t="s">
        <v>244</v>
      </c>
    </row>
    <row r="65" spans="1:2" x14ac:dyDescent="0.2">
      <c r="A65" s="96" t="s">
        <v>211</v>
      </c>
      <c r="B65" s="223" t="s">
        <v>244</v>
      </c>
    </row>
    <row r="66" spans="1:2" x14ac:dyDescent="0.2">
      <c r="A66" s="96" t="s">
        <v>212</v>
      </c>
      <c r="B66" s="223" t="s">
        <v>244</v>
      </c>
    </row>
    <row r="67" spans="1:2" x14ac:dyDescent="0.2">
      <c r="A67" s="96" t="s">
        <v>213</v>
      </c>
      <c r="B67" s="223" t="s">
        <v>244</v>
      </c>
    </row>
    <row r="68" spans="1:2" x14ac:dyDescent="0.2">
      <c r="A68" s="96" t="s">
        <v>214</v>
      </c>
      <c r="B68" s="223" t="s">
        <v>244</v>
      </c>
    </row>
    <row r="69" spans="1:2" x14ac:dyDescent="0.2">
      <c r="A69" s="96" t="s">
        <v>215</v>
      </c>
      <c r="B69" s="223" t="s">
        <v>244</v>
      </c>
    </row>
    <row r="70" spans="1:2" x14ac:dyDescent="0.2">
      <c r="A70" s="96" t="s">
        <v>216</v>
      </c>
      <c r="B70" s="223" t="s">
        <v>244</v>
      </c>
    </row>
    <row r="71" spans="1:2" x14ac:dyDescent="0.2">
      <c r="A71" s="96" t="s">
        <v>217</v>
      </c>
      <c r="B71" s="223" t="s">
        <v>244</v>
      </c>
    </row>
    <row r="72" spans="1:2" x14ac:dyDescent="0.2">
      <c r="A72" s="190" t="s">
        <v>218</v>
      </c>
      <c r="B72" s="223" t="s">
        <v>244</v>
      </c>
    </row>
    <row r="73" spans="1:2" x14ac:dyDescent="0.2">
      <c r="A73" s="190" t="s">
        <v>219</v>
      </c>
      <c r="B73" s="223" t="s">
        <v>244</v>
      </c>
    </row>
    <row r="74" spans="1:2" x14ac:dyDescent="0.2">
      <c r="A74" s="190" t="s">
        <v>220</v>
      </c>
      <c r="B74" s="223" t="s">
        <v>244</v>
      </c>
    </row>
    <row r="75" spans="1:2" x14ac:dyDescent="0.2">
      <c r="A75" s="190" t="s">
        <v>221</v>
      </c>
      <c r="B75" s="223" t="s">
        <v>244</v>
      </c>
    </row>
    <row r="76" spans="1:2" x14ac:dyDescent="0.2">
      <c r="A76" s="190" t="s">
        <v>222</v>
      </c>
      <c r="B76" s="223" t="s">
        <v>244</v>
      </c>
    </row>
    <row r="77" spans="1:2" x14ac:dyDescent="0.2">
      <c r="A77" s="190" t="s">
        <v>223</v>
      </c>
      <c r="B77" s="223" t="s">
        <v>247</v>
      </c>
    </row>
    <row r="78" spans="1:2" x14ac:dyDescent="0.2">
      <c r="A78" s="190" t="s">
        <v>224</v>
      </c>
      <c r="B78" s="223" t="s">
        <v>247</v>
      </c>
    </row>
    <row r="79" spans="1:2" x14ac:dyDescent="0.2">
      <c r="A79" s="96" t="s">
        <v>225</v>
      </c>
      <c r="B79" s="223" t="s">
        <v>247</v>
      </c>
    </row>
    <row r="80" spans="1:2" x14ac:dyDescent="0.2">
      <c r="A80" s="96" t="s">
        <v>226</v>
      </c>
      <c r="B80" s="223" t="s">
        <v>247</v>
      </c>
    </row>
    <row r="81" spans="1:2" x14ac:dyDescent="0.2">
      <c r="A81" s="96" t="s">
        <v>227</v>
      </c>
      <c r="B81" s="223" t="s">
        <v>247</v>
      </c>
    </row>
    <row r="82" spans="1:2" x14ac:dyDescent="0.2">
      <c r="A82" s="96" t="s">
        <v>228</v>
      </c>
      <c r="B82" s="223" t="s">
        <v>248</v>
      </c>
    </row>
    <row r="83" spans="1:2" x14ac:dyDescent="0.2">
      <c r="A83" s="96" t="s">
        <v>229</v>
      </c>
      <c r="B83" s="223" t="s">
        <v>248</v>
      </c>
    </row>
    <row r="84" spans="1:2" x14ac:dyDescent="0.2">
      <c r="A84" s="96" t="s">
        <v>230</v>
      </c>
      <c r="B84" s="223" t="s">
        <v>248</v>
      </c>
    </row>
    <row r="85" spans="1:2" x14ac:dyDescent="0.2">
      <c r="A85" s="96" t="s">
        <v>231</v>
      </c>
      <c r="B85" s="223" t="s">
        <v>248</v>
      </c>
    </row>
    <row r="86" spans="1:2" x14ac:dyDescent="0.2">
      <c r="A86" s="96" t="s">
        <v>232</v>
      </c>
      <c r="B86" s="223" t="s">
        <v>248</v>
      </c>
    </row>
    <row r="87" spans="1:2" x14ac:dyDescent="0.2">
      <c r="A87" s="96" t="s">
        <v>233</v>
      </c>
      <c r="B87" s="223" t="s">
        <v>248</v>
      </c>
    </row>
    <row r="88" spans="1:2" x14ac:dyDescent="0.2">
      <c r="A88" s="96" t="s">
        <v>234</v>
      </c>
      <c r="B88" s="223" t="s">
        <v>248</v>
      </c>
    </row>
    <row r="89" spans="1:2" x14ac:dyDescent="0.2">
      <c r="A89" s="96" t="s">
        <v>235</v>
      </c>
      <c r="B89" s="223" t="s">
        <v>248</v>
      </c>
    </row>
    <row r="90" spans="1:2" x14ac:dyDescent="0.2">
      <c r="A90" s="96" t="s">
        <v>236</v>
      </c>
      <c r="B90" s="223" t="s">
        <v>249</v>
      </c>
    </row>
    <row r="91" spans="1:2" x14ac:dyDescent="0.2">
      <c r="A91" s="96" t="s">
        <v>237</v>
      </c>
      <c r="B91" s="223" t="s">
        <v>249</v>
      </c>
    </row>
    <row r="92" spans="1:2" x14ac:dyDescent="0.2">
      <c r="A92" s="96" t="s">
        <v>238</v>
      </c>
      <c r="B92" s="223" t="s">
        <v>249</v>
      </c>
    </row>
    <row r="93" spans="1:2" x14ac:dyDescent="0.2">
      <c r="A93" s="96" t="s">
        <v>239</v>
      </c>
      <c r="B93" s="223" t="s">
        <v>249</v>
      </c>
    </row>
    <row r="94" spans="1:2" x14ac:dyDescent="0.2">
      <c r="A94" s="96" t="s">
        <v>240</v>
      </c>
      <c r="B94" s="223" t="s">
        <v>249</v>
      </c>
    </row>
    <row r="95" spans="1:2" x14ac:dyDescent="0.2">
      <c r="A95" s="96" t="s">
        <v>241</v>
      </c>
      <c r="B95" s="223" t="s">
        <v>249</v>
      </c>
    </row>
    <row r="96" spans="1:2" x14ac:dyDescent="0.2">
      <c r="A96" s="96" t="s">
        <v>242</v>
      </c>
      <c r="B96" s="223" t="s">
        <v>249</v>
      </c>
    </row>
    <row r="100" spans="1:1" x14ac:dyDescent="0.2">
      <c r="A100" s="96" t="s">
        <v>207</v>
      </c>
    </row>
    <row r="101" spans="1:1" x14ac:dyDescent="0.2">
      <c r="A101" s="96" t="s">
        <v>208</v>
      </c>
    </row>
    <row r="102" spans="1:1" x14ac:dyDescent="0.2">
      <c r="A102" s="96" t="s">
        <v>209</v>
      </c>
    </row>
    <row r="103" spans="1:1" x14ac:dyDescent="0.2">
      <c r="A103" s="96" t="s">
        <v>210</v>
      </c>
    </row>
    <row r="104" spans="1:1" x14ac:dyDescent="0.2">
      <c r="A104" s="96" t="s">
        <v>211</v>
      </c>
    </row>
    <row r="105" spans="1:1" x14ac:dyDescent="0.2">
      <c r="A105" s="96" t="s">
        <v>212</v>
      </c>
    </row>
    <row r="106" spans="1:1" x14ac:dyDescent="0.2">
      <c r="A106" s="96" t="s">
        <v>213</v>
      </c>
    </row>
    <row r="107" spans="1:1" x14ac:dyDescent="0.2">
      <c r="A107" s="96" t="s">
        <v>214</v>
      </c>
    </row>
    <row r="108" spans="1:1" x14ac:dyDescent="0.2">
      <c r="A108" s="96" t="s">
        <v>215</v>
      </c>
    </row>
    <row r="109" spans="1:1" x14ac:dyDescent="0.2">
      <c r="A109" s="96" t="s">
        <v>216</v>
      </c>
    </row>
    <row r="110" spans="1:1" x14ac:dyDescent="0.2">
      <c r="A110" s="96" t="s">
        <v>217</v>
      </c>
    </row>
    <row r="111" spans="1:1" x14ac:dyDescent="0.2">
      <c r="A111" s="190" t="s">
        <v>218</v>
      </c>
    </row>
    <row r="112" spans="1:1" x14ac:dyDescent="0.2">
      <c r="A112" s="190" t="s">
        <v>219</v>
      </c>
    </row>
    <row r="113" spans="1:1" x14ac:dyDescent="0.2">
      <c r="A113" s="190" t="s">
        <v>220</v>
      </c>
    </row>
    <row r="114" spans="1:1" x14ac:dyDescent="0.2">
      <c r="A114" s="190" t="s">
        <v>221</v>
      </c>
    </row>
    <row r="115" spans="1:1" x14ac:dyDescent="0.2">
      <c r="A115" s="190" t="s">
        <v>222</v>
      </c>
    </row>
    <row r="116" spans="1:1" x14ac:dyDescent="0.2">
      <c r="A116" s="190" t="s">
        <v>223</v>
      </c>
    </row>
    <row r="117" spans="1:1" x14ac:dyDescent="0.2">
      <c r="A117" s="190" t="s">
        <v>224</v>
      </c>
    </row>
    <row r="118" spans="1:1" x14ac:dyDescent="0.2">
      <c r="A118" s="96" t="s">
        <v>225</v>
      </c>
    </row>
    <row r="119" spans="1:1" x14ac:dyDescent="0.2">
      <c r="A119" s="96" t="s">
        <v>226</v>
      </c>
    </row>
    <row r="120" spans="1:1" x14ac:dyDescent="0.2">
      <c r="A120" s="96" t="s">
        <v>227</v>
      </c>
    </row>
    <row r="121" spans="1:1" x14ac:dyDescent="0.2">
      <c r="A121" s="96" t="s">
        <v>228</v>
      </c>
    </row>
    <row r="122" spans="1:1" x14ac:dyDescent="0.2">
      <c r="A122" s="96" t="s">
        <v>229</v>
      </c>
    </row>
    <row r="123" spans="1:1" x14ac:dyDescent="0.2">
      <c r="A123" s="96" t="s">
        <v>230</v>
      </c>
    </row>
    <row r="124" spans="1:1" x14ac:dyDescent="0.2">
      <c r="A124" s="96" t="s">
        <v>231</v>
      </c>
    </row>
    <row r="125" spans="1:1" x14ac:dyDescent="0.2">
      <c r="A125" s="96" t="s">
        <v>232</v>
      </c>
    </row>
    <row r="126" spans="1:1" x14ac:dyDescent="0.2">
      <c r="A126" s="96" t="s">
        <v>233</v>
      </c>
    </row>
    <row r="127" spans="1:1" x14ac:dyDescent="0.2">
      <c r="A127" s="96" t="s">
        <v>234</v>
      </c>
    </row>
    <row r="128" spans="1:1" x14ac:dyDescent="0.2">
      <c r="A128" s="96" t="s">
        <v>235</v>
      </c>
    </row>
    <row r="129" spans="1:1" x14ac:dyDescent="0.2">
      <c r="A129" s="96" t="s">
        <v>236</v>
      </c>
    </row>
    <row r="130" spans="1:1" x14ac:dyDescent="0.2">
      <c r="A130" s="96" t="s">
        <v>237</v>
      </c>
    </row>
    <row r="131" spans="1:1" x14ac:dyDescent="0.2">
      <c r="A131" s="96" t="s">
        <v>238</v>
      </c>
    </row>
    <row r="132" spans="1:1" x14ac:dyDescent="0.2">
      <c r="A132" s="96" t="s">
        <v>239</v>
      </c>
    </row>
    <row r="133" spans="1:1" x14ac:dyDescent="0.2">
      <c r="A133" s="96" t="s">
        <v>240</v>
      </c>
    </row>
    <row r="134" spans="1:1" x14ac:dyDescent="0.2">
      <c r="A134" s="96" t="s">
        <v>241</v>
      </c>
    </row>
    <row r="135" spans="1:1" x14ac:dyDescent="0.2">
      <c r="A135" s="96" t="s">
        <v>242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  <mergeCell ref="B1:C1"/>
    <mergeCell ref="D1:E1"/>
    <mergeCell ref="L1:M1"/>
    <mergeCell ref="P1:Q1"/>
    <mergeCell ref="R1:S1"/>
    <mergeCell ref="F1:G1"/>
    <mergeCell ref="J1:K1"/>
    <mergeCell ref="H1:I1"/>
    <mergeCell ref="N1: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204</v>
      </c>
      <c r="B2" s="135" t="str">
        <f>IF(ISBLANK(Summary!B2)," ",Summary!B2)</f>
        <v>BOFA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MARCH_27_TESTDEV1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UK-GBP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43009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43374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Estimate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GBP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253</v>
      </c>
      <c r="C14" s="12" t="s">
        <v>91</v>
      </c>
      <c r="D14" s="12" t="s">
        <v>251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207</v>
      </c>
      <c r="B15" s="156" t="s">
        <v>265</v>
      </c>
      <c r="C15" s="86"/>
      <c r="D15" s="372">
        <v>1</v>
      </c>
      <c r="E15" s="157">
        <v>43009</v>
      </c>
      <c r="F15" s="157">
        <v>43374</v>
      </c>
      <c r="G15" s="158">
        <v>0.5</v>
      </c>
      <c r="H15" s="159">
        <f t="shared" ref="H15:H31" si="0">IF(ISBLANK(A15),"",NETWORKDAYS(E15,F15)*G15)</f>
        <v>130.5</v>
      </c>
      <c r="I15" s="160">
        <f t="shared" ref="I15:I31" si="1">IF(ISBLANK(A15),"",H15*$B$10)</f>
        <v>1044</v>
      </c>
      <c r="J15" s="172">
        <f>IF(ISBLANK(A15),"",VLOOKUP(A15,gsrates!$A$3:$AK$38,VLOOKUP($B$6,gsrates!$A$41:$C$58,2,FALSE),FALSE))</f>
        <v>200</v>
      </c>
      <c r="K15" s="79">
        <f t="shared" ref="K15:K31" si="2">IF(ISBLANK(A15),"",I15*J15)</f>
        <v>208800</v>
      </c>
      <c r="L15" s="203">
        <f>IF(ISBLANK(A15),"",VLOOKUP(A15,gsrates!$A$3:$AK$38,VLOOKUP($B$6,gsrates!$A$41:$C$58,3,FALSE),FALSE))</f>
        <v>148</v>
      </c>
      <c r="M15" s="203">
        <f t="shared" ref="M15:M31" si="3">IF(ISBLANK(A15),"",L15*H15*8)</f>
        <v>154512</v>
      </c>
      <c r="N15" s="79">
        <f t="shared" ref="N15:N31" si="4">IF(ISBLANK(A15),"",K15-M15)</f>
        <v>54288</v>
      </c>
      <c r="O15" s="173">
        <v>250</v>
      </c>
      <c r="P15" s="203">
        <f t="shared" ref="P15:P31" si="5">IF(ISBLANK(A15),"",H15*O15*$B$10)</f>
        <v>261000</v>
      </c>
      <c r="Q15" s="79">
        <f t="shared" ref="Q15:Q31" si="6">IF(ISBLANK(A15),"",P15-M15)</f>
        <v>106488</v>
      </c>
      <c r="R15" s="151">
        <f t="shared" ref="R15:R31" si="7">IF(ISBLANK(A15),"",Q15/P15)</f>
        <v>0.40799999999999997</v>
      </c>
      <c r="S15" s="162">
        <f t="shared" ref="S15:S31" si="8">IF(ISBLANK(A15),"",1-P15/K15)</f>
        <v>-0.25</v>
      </c>
      <c r="T15" s="41"/>
      <c r="U15" s="41" t="str">
        <f t="shared" ref="U15:U31" si="9">IF(ISBLANK(A15),"",CONCATENATE(C15,"-",$B$6))</f>
        <v>-UK-GBP</v>
      </c>
      <c r="Y15" s="41" t="s">
        <v>155</v>
      </c>
    </row>
    <row r="16" spans="1:148" outlineLevel="1" x14ac:dyDescent="0.2">
      <c r="A16" s="156" t="s">
        <v>211</v>
      </c>
      <c r="B16" s="156" t="s">
        <v>267</v>
      </c>
      <c r="C16" s="86"/>
      <c r="D16" s="372">
        <v>2</v>
      </c>
      <c r="E16" s="157">
        <v>43009</v>
      </c>
      <c r="F16" s="157">
        <v>43374</v>
      </c>
      <c r="G16" s="158">
        <v>0.75</v>
      </c>
      <c r="H16" s="159">
        <f t="shared" si="0"/>
        <v>195.75</v>
      </c>
      <c r="I16" s="160">
        <f t="shared" si="1"/>
        <v>1566</v>
      </c>
      <c r="J16" s="172">
        <f>IF(ISBLANK(A16),"",VLOOKUP(A16,gsrates!$A$3:$AK$38,VLOOKUP($B$6,gsrates!$A$41:$C$58,2,FALSE),FALSE))</f>
        <v>210</v>
      </c>
      <c r="K16" s="79">
        <f t="shared" si="2"/>
        <v>328860</v>
      </c>
      <c r="L16" s="203">
        <f>IF(ISBLANK(A16),"",VLOOKUP(A16,gsrates!$A$3:$AK$38,VLOOKUP($B$6,gsrates!$A$41:$C$58,3,FALSE),FALSE))</f>
        <v>73</v>
      </c>
      <c r="M16" s="203">
        <f t="shared" si="3"/>
        <v>114318</v>
      </c>
      <c r="N16" s="79">
        <f t="shared" si="4"/>
        <v>214542</v>
      </c>
      <c r="O16" s="173">
        <v>200</v>
      </c>
      <c r="P16" s="203">
        <f t="shared" si="5"/>
        <v>313200</v>
      </c>
      <c r="Q16" s="79">
        <f t="shared" si="6"/>
        <v>198882</v>
      </c>
      <c r="R16" s="151">
        <f t="shared" si="7"/>
        <v>0.63500000000000001</v>
      </c>
      <c r="S16" s="162">
        <f t="shared" si="8"/>
        <v>4.7619047619047672E-2</v>
      </c>
      <c r="T16" s="41"/>
      <c r="U16" s="41" t="str">
        <f t="shared" si="9"/>
        <v>-UK-GBP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326.25</v>
      </c>
      <c r="I32" s="9">
        <f>SUM(I15:I31)</f>
        <v>2610</v>
      </c>
      <c r="J32" s="31"/>
      <c r="K32" s="36">
        <f>SUM(K15:K31)</f>
        <v>537660</v>
      </c>
      <c r="L32" s="205"/>
      <c r="M32" s="205">
        <f>SUM(M15:M31)</f>
        <v>268830</v>
      </c>
      <c r="N32" s="36">
        <f>SUM(N15:N31)</f>
        <v>268830</v>
      </c>
      <c r="O32" s="33"/>
      <c r="P32" s="205">
        <f>SUM(P15:P31)</f>
        <v>574200</v>
      </c>
      <c r="Q32" s="36">
        <f>SUM(Q15:Q31)</f>
        <v>305370</v>
      </c>
      <c r="R32" s="15">
        <f>IF(H32=0,"",Q32/P32)</f>
        <v>0.53181818181818186</v>
      </c>
      <c r="S32" s="8">
        <f>IF(H32=0,"",1-P32/K32)</f>
        <v>-6.7961165048543659E-2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326.25</v>
      </c>
      <c r="I48" s="17">
        <f>I32+I43+I45+I46+I47</f>
        <v>2610</v>
      </c>
      <c r="J48" s="33"/>
      <c r="K48" s="17">
        <f>K32+K43+K45+K46+K47</f>
        <v>537660</v>
      </c>
      <c r="L48" s="205"/>
      <c r="M48" s="17">
        <f>M32+M43+M45+M46+M47</f>
        <v>268830</v>
      </c>
      <c r="N48" s="17">
        <f>N32+N43+N45+N47+N58+N46</f>
        <v>268830</v>
      </c>
      <c r="P48" s="17">
        <f>P32+P43+P45+P46+P47</f>
        <v>574200</v>
      </c>
      <c r="Q48" s="17">
        <f>Q32+Q43+Q45+Q47+Q58+Q46</f>
        <v>305370</v>
      </c>
      <c r="R48" s="15">
        <f>IF(ISBLANK(A48),"",IF(P48&gt;0,Q48/P48,0))</f>
        <v>0.53181818181818186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326.25</v>
      </c>
      <c r="I59" s="9">
        <f>I48+I56</f>
        <v>2610</v>
      </c>
      <c r="J59" s="31"/>
      <c r="K59" s="36">
        <f>K48</f>
        <v>537660</v>
      </c>
      <c r="L59" s="205"/>
      <c r="M59" s="205">
        <f>M48+M58</f>
        <v>268830</v>
      </c>
      <c r="N59" s="36">
        <f>N48</f>
        <v>268830</v>
      </c>
      <c r="O59" s="33"/>
      <c r="P59" s="205">
        <f>P48+P58</f>
        <v>574200</v>
      </c>
      <c r="Q59" s="36">
        <f>Q48</f>
        <v>305370</v>
      </c>
      <c r="R59" s="15">
        <f>IF(ISBLANK(A59),"",IF(P59&gt;0,Q59/P59,0))</f>
        <v>0.53181818181818186</v>
      </c>
      <c r="S59" s="8">
        <f>IF(ISBLANK(A59),"",IF(K59&gt;0,1-P59/K59,1))</f>
        <v>-6.7961165048543659E-2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574200</v>
      </c>
      <c r="Q61" s="43">
        <f>P61-M59</f>
        <v>305370</v>
      </c>
      <c r="R61" s="44">
        <f>IF(ISBLANK(A61),"",IF(P61&gt;0,Q61/P61,0))</f>
        <v>0.53181818181818186</v>
      </c>
      <c r="S61" s="45">
        <f>IF(ISBLANK(A61),"",IF(K59&gt;0,1-P61/K59,1))</f>
        <v>-6.7961165048543659E-2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>Low Estimate</v>
      </c>
      <c r="H63" s="9">
        <f>H59*(1-$G$9)</f>
        <v>309.9375</v>
      </c>
      <c r="I63" s="9">
        <f>I59*(1-$G$9)</f>
        <v>2479.5</v>
      </c>
      <c r="J63" s="31"/>
      <c r="K63" s="36">
        <f>K59*(1-$G$9)</f>
        <v>510777</v>
      </c>
      <c r="L63" s="205"/>
      <c r="M63" s="205">
        <f>M59*(1-$G$9)</f>
        <v>255388.5</v>
      </c>
      <c r="N63" s="36">
        <f>N59*(1-$G$9)</f>
        <v>255388.5</v>
      </c>
      <c r="O63" s="49"/>
      <c r="P63" s="205">
        <f>P59*(1-$G$9)</f>
        <v>545490</v>
      </c>
      <c r="Q63" s="36">
        <f>Q59*(1-$G$9)</f>
        <v>290101.5</v>
      </c>
      <c r="R63" s="15">
        <f>IF(ISBLANK(A63),"",IF(P63&gt;0,Q63/P63,0))</f>
        <v>0.53181818181818186</v>
      </c>
      <c r="S63" s="8"/>
    </row>
    <row r="64" spans="1:148" outlineLevel="1" x14ac:dyDescent="0.2">
      <c r="A64" s="2" t="str">
        <f>IF($B$9="Estimate","High Estimate","")</f>
        <v>High Estimate</v>
      </c>
      <c r="H64" s="9">
        <f>H59*(1+$G$10)</f>
        <v>391.5</v>
      </c>
      <c r="I64" s="9">
        <f>I59*(1+$G$10)</f>
        <v>3132</v>
      </c>
      <c r="J64" s="31"/>
      <c r="K64" s="36">
        <f>K59*(1+$G$10)</f>
        <v>645192</v>
      </c>
      <c r="L64" s="205"/>
      <c r="M64" s="205">
        <f>M59*(1+$G$10)</f>
        <v>322596</v>
      </c>
      <c r="N64" s="36">
        <f>N59*(1+$G$10)</f>
        <v>322596</v>
      </c>
      <c r="O64" s="49"/>
      <c r="P64" s="205">
        <f>P59*(1+$G$10)</f>
        <v>689040</v>
      </c>
      <c r="Q64" s="36">
        <f>Q59*(1+$G$10)</f>
        <v>366444</v>
      </c>
      <c r="R64" s="15">
        <f>IF(ISBLANK(A64),"",IF(P64&gt;0,Q64/P64,0))</f>
        <v>0.53181818181818186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ECR-31JAN2018-16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2018-02-08T21:01:26+00:00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20180131T160915.938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Props1.xml><?xml version="1.0" encoding="utf-8"?>
<ds:datastoreItem xmlns:ds="http://schemas.openxmlformats.org/officeDocument/2006/customXml" ds:itemID="{307085EE-4C6B-4977-AB22-BB88C0C05C0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109EB5F-CE91-4C87-9CBF-4B3B1872E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345F13-1DBE-46D4-B0D7-304B49E202DD}">
  <ds:schemaRefs>
    <ds:schemaRef ds:uri="25c0f05f-b61a-491f-a19d-37e3a42ecd69"/>
    <ds:schemaRef ds:uri="http://purl.org/dc/terms/"/>
    <ds:schemaRef ds:uri="http://purl.org/dc/dcmitype/"/>
    <ds:schemaRef ds:uri="http://www.w3.org/XML/1998/namespace"/>
    <ds:schemaRef ds:uri="87fa94fe-5ad7-4dd5-a490-5e3f0ba4b54b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schemas.microsoft.com/sharepoint/v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2018-03-30T17:52:29Z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